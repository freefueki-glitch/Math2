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入力" sheetId="1" state="visible" r:id="rId3"/>
    <sheet name="結果" sheetId="2" state="visible" r:id="rId4"/>
    <sheet name="設定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Noto Sans CJK SC"/>
            <family val="2"/>
          </rPr>
          <t xml:space="preserve">グループの人の名前を書く（最大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Noto Sans CJK SC"/>
            <family val="2"/>
          </rPr>
          <t xml:space="preserve">人）</t>
        </r>
      </text>
    </comment>
  </commentList>
</comments>
</file>

<file path=xl/sharedStrings.xml><?xml version="1.0" encoding="utf-8"?>
<sst xmlns="http://schemas.openxmlformats.org/spreadsheetml/2006/main" count="86" uniqueCount="61">
  <si>
    <r>
      <rPr>
        <b val="true"/>
        <sz val="16"/>
        <rFont val="Noto Sans CJK SC"/>
        <family val="2"/>
      </rPr>
      <t xml:space="preserve">第</t>
    </r>
    <r>
      <rPr>
        <b val="true"/>
        <sz val="16"/>
        <rFont val="Meiryo"/>
        <family val="0"/>
        <charset val="1"/>
      </rPr>
      <t xml:space="preserve">6</t>
    </r>
    <r>
      <rPr>
        <b val="true"/>
        <sz val="16"/>
        <rFont val="Noto Sans CJK SC"/>
        <family val="2"/>
      </rPr>
      <t xml:space="preserve">章　場合の数と確率　実験記録シート（入力）</t>
    </r>
  </si>
  <si>
    <r>
      <rPr>
        <b val="true"/>
        <sz val="9"/>
        <rFont val="Noto Sans CJK SC"/>
        <family val="2"/>
      </rPr>
      <t xml:space="preserve">名前（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〜</t>
    </r>
    <r>
      <rPr>
        <b val="true"/>
        <sz val="9"/>
        <rFont val="Meiryo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人目）</t>
    </r>
  </si>
  <si>
    <r>
      <rPr>
        <b val="true"/>
        <sz val="9"/>
        <rFont val="Noto Sans CJK SC"/>
        <family val="2"/>
      </rPr>
      <t xml:space="preserve">名前（</t>
    </r>
    <r>
      <rPr>
        <b val="true"/>
        <sz val="9"/>
        <rFont val="Meiryo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〜</t>
    </r>
    <r>
      <rPr>
        <b val="true"/>
        <sz val="9"/>
        <rFont val="Meiryo"/>
        <family val="0"/>
        <charset val="1"/>
      </rPr>
      <t xml:space="preserve">6</t>
    </r>
    <r>
      <rPr>
        <b val="true"/>
        <sz val="9"/>
        <rFont val="Noto Sans CJK SC"/>
        <family val="2"/>
      </rPr>
      <t xml:space="preserve">人目）</t>
    </r>
  </si>
  <si>
    <t xml:space="preserve">試行回数</t>
  </si>
  <si>
    <t xml:space="preserve">テーマ</t>
  </si>
  <si>
    <t xml:space="preserve">起こった回数</t>
  </si>
  <si>
    <t xml:space="preserve">注目すること</t>
  </si>
  <si>
    <t xml:space="preserve">相対度数</t>
  </si>
  <si>
    <r>
      <rPr>
        <sz val="9"/>
        <rFont val="Noto Sans CJK SC"/>
        <family val="2"/>
      </rPr>
      <t xml:space="preserve">【使い方】① 名前を書く（最大</t>
    </r>
    <r>
      <rPr>
        <sz val="9"/>
        <rFont val="Meiryo"/>
        <family val="0"/>
        <charset val="1"/>
      </rPr>
      <t xml:space="preserve">6</t>
    </r>
    <r>
      <rPr>
        <sz val="9"/>
        <rFont val="Noto Sans CJK SC"/>
        <family val="2"/>
      </rPr>
      <t xml:space="preserve">人）　② テーマを▼から選ぶ　③ 下の「結果」を上の</t>
    </r>
    <r>
      <rPr>
        <sz val="9"/>
        <rFont val="Meiryo"/>
        <family val="0"/>
        <charset val="1"/>
      </rPr>
      <t xml:space="preserve">1</t>
    </r>
    <r>
      <rPr>
        <sz val="9"/>
        <rFont val="Noto Sans CJK SC"/>
        <family val="2"/>
      </rPr>
      <t xml:space="preserve">回目から順に、▼から選んで入力　（最大</t>
    </r>
    <r>
      <rPr>
        <sz val="9"/>
        <rFont val="Meiryo"/>
        <family val="0"/>
        <charset val="1"/>
      </rPr>
      <t xml:space="preserve">1000</t>
    </r>
    <r>
      <rPr>
        <sz val="9"/>
        <rFont val="Noto Sans CJK SC"/>
        <family val="2"/>
      </rPr>
      <t xml:space="preserve">回）　→「結果」シートに</t>
    </r>
    <r>
      <rPr>
        <sz val="9"/>
        <rFont val="Meiryo"/>
        <family val="0"/>
        <charset val="1"/>
      </rPr>
      <t xml:space="preserve">50</t>
    </r>
    <r>
      <rPr>
        <sz val="9"/>
        <rFont val="Noto Sans CJK SC"/>
        <family val="2"/>
      </rPr>
      <t xml:space="preserve">回ごとの表とグラフが出ます。</t>
    </r>
  </si>
  <si>
    <r>
      <rPr>
        <sz val="9"/>
        <rFont val="Noto Sans CJK SC"/>
        <family val="2"/>
      </rPr>
      <t xml:space="preserve">※黄色いセルだけ入力します。例）①さいころなら、</t>
    </r>
    <r>
      <rPr>
        <sz val="9"/>
        <rFont val="Meiryo"/>
        <family val="0"/>
        <charset val="1"/>
      </rPr>
      <t xml:space="preserve">1</t>
    </r>
    <r>
      <rPr>
        <sz val="9"/>
        <rFont val="Noto Sans CJK SC"/>
        <family val="2"/>
      </rPr>
      <t xml:space="preserve">回目に「</t>
    </r>
    <r>
      <rPr>
        <sz val="9"/>
        <rFont val="Meiryo"/>
        <family val="0"/>
        <charset val="1"/>
      </rPr>
      <t xml:space="preserve">3</t>
    </r>
    <r>
      <rPr>
        <sz val="9"/>
        <rFont val="Noto Sans CJK SC"/>
        <family val="2"/>
      </rPr>
      <t xml:space="preserve">」が出たら </t>
    </r>
    <r>
      <rPr>
        <sz val="9"/>
        <rFont val="Meiryo"/>
        <family val="0"/>
        <charset val="1"/>
      </rPr>
      <t xml:space="preserve">1</t>
    </r>
    <r>
      <rPr>
        <sz val="9"/>
        <rFont val="Noto Sans CJK SC"/>
        <family val="2"/>
      </rPr>
      <t xml:space="preserve">回目の結果に </t>
    </r>
    <r>
      <rPr>
        <sz val="9"/>
        <rFont val="Meiryo"/>
        <family val="0"/>
        <charset val="1"/>
      </rPr>
      <t xml:space="preserve">3 </t>
    </r>
    <r>
      <rPr>
        <sz val="9"/>
        <rFont val="Noto Sans CJK SC"/>
        <family val="2"/>
      </rPr>
      <t xml:space="preserve">を選ぶ。　テーマを変えるときは、結果の入力を消してからにしよう。</t>
    </r>
  </si>
  <si>
    <t xml:space="preserve">回</t>
  </si>
  <si>
    <t xml:space="preserve">結果（入力）</t>
  </si>
  <si>
    <r>
      <rPr>
        <b val="true"/>
        <sz val="10"/>
        <rFont val="Noto Sans CJK SC"/>
        <family val="2"/>
      </rPr>
      <t xml:space="preserve">起こった？
（</t>
    </r>
    <r>
      <rPr>
        <b val="true"/>
        <sz val="10"/>
        <rFont val="Meiryo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＝起こった）</t>
    </r>
  </si>
  <si>
    <t xml:space="preserve">選び方のヒント</t>
  </si>
  <si>
    <r>
      <rPr>
        <b val="true"/>
        <sz val="16"/>
        <rFont val="Noto Sans CJK SC"/>
        <family val="2"/>
      </rPr>
      <t xml:space="preserve">第</t>
    </r>
    <r>
      <rPr>
        <b val="true"/>
        <sz val="16"/>
        <rFont val="Meiryo"/>
        <family val="0"/>
        <charset val="1"/>
      </rPr>
      <t xml:space="preserve">6</t>
    </r>
    <r>
      <rPr>
        <b val="true"/>
        <sz val="16"/>
        <rFont val="Noto Sans CJK SC"/>
        <family val="2"/>
      </rPr>
      <t xml:space="preserve">章　場合の数と確率　実験結果（自動で表とグラフが出ます）</t>
    </r>
  </si>
  <si>
    <t xml:space="preserve">名前</t>
  </si>
  <si>
    <r>
      <rPr>
        <b val="true"/>
        <sz val="10"/>
        <rFont val="Noto Sans CJK SC"/>
        <family val="2"/>
      </rPr>
      <t xml:space="preserve">相対度数 ＝ 起こった回数 </t>
    </r>
    <r>
      <rPr>
        <b val="true"/>
        <sz val="10"/>
        <rFont val="Meiryo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試行回数　（</t>
    </r>
    <r>
      <rPr>
        <b val="true"/>
        <sz val="10"/>
        <rFont val="Meiryo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回ごとに、そこまでの合計で計算）</t>
    </r>
  </si>
  <si>
    <t xml:space="preserve">起こった回数
（ここまでの合計）</t>
  </si>
  <si>
    <t xml:space="preserve">グラフ用
（さわらない）</t>
  </si>
  <si>
    <r>
      <rPr>
        <sz val="9"/>
        <rFont val="Noto Sans CJK SC"/>
        <family val="2"/>
      </rPr>
      <t xml:space="preserve">※「入力」シートで、</t>
    </r>
    <r>
      <rPr>
        <sz val="9"/>
        <rFont val="Meiryo"/>
        <family val="0"/>
        <charset val="1"/>
      </rPr>
      <t xml:space="preserve">50</t>
    </r>
    <r>
      <rPr>
        <sz val="9"/>
        <rFont val="Noto Sans CJK SC"/>
        <family val="2"/>
      </rPr>
      <t xml:space="preserve">回分がそろうと、その行に結果が出ます。</t>
    </r>
  </si>
  <si>
    <t xml:space="preserve">※このシートは さわらないでください（選べる項目などの設定です）</t>
  </si>
  <si>
    <t xml:space="preserve">選べる結果</t>
  </si>
  <si>
    <r>
      <rPr>
        <b val="true"/>
        <sz val="9"/>
        <rFont val="Noto Sans CJK SC"/>
        <family val="2"/>
      </rPr>
      <t xml:space="preserve">① さいころを投げて、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が出る</t>
    </r>
  </si>
  <si>
    <r>
      <rPr>
        <b val="true"/>
        <sz val="9"/>
        <rFont val="Noto Sans CJK SC"/>
        <family val="2"/>
      </rPr>
      <t xml:space="preserve">② トランプ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〜</t>
    </r>
    <r>
      <rPr>
        <b val="true"/>
        <sz val="9"/>
        <rFont val="Meiryo"/>
        <family val="0"/>
        <charset val="1"/>
      </rPr>
      <t xml:space="preserve">13</t>
    </r>
    <r>
      <rPr>
        <b val="true"/>
        <sz val="9"/>
        <rFont val="Noto Sans CJK SC"/>
        <family val="2"/>
      </rPr>
      <t xml:space="preserve">から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枚ひいて、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が出る</t>
    </r>
  </si>
  <si>
    <r>
      <rPr>
        <b val="true"/>
        <sz val="9"/>
        <rFont val="Noto Sans CJK SC"/>
        <family val="2"/>
      </rPr>
      <t xml:space="preserve">③ トランプ</t>
    </r>
    <r>
      <rPr>
        <b val="true"/>
        <sz val="9"/>
        <rFont val="Meiryo"/>
        <family val="0"/>
        <charset val="1"/>
      </rPr>
      <t xml:space="preserve">52</t>
    </r>
    <r>
      <rPr>
        <b val="true"/>
        <sz val="9"/>
        <rFont val="Noto Sans CJK SC"/>
        <family val="2"/>
      </rPr>
      <t xml:space="preserve">枚から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枚ひいて、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（</t>
    </r>
    <r>
      <rPr>
        <b val="true"/>
        <sz val="9"/>
        <rFont val="Meiryo"/>
        <family val="0"/>
        <charset val="1"/>
      </rPr>
      <t xml:space="preserve">A</t>
    </r>
    <r>
      <rPr>
        <b val="true"/>
        <sz val="9"/>
        <rFont val="Noto Sans CJK SC"/>
        <family val="2"/>
      </rPr>
      <t xml:space="preserve">）が出る</t>
    </r>
  </si>
  <si>
    <r>
      <rPr>
        <b val="true"/>
        <sz val="9"/>
        <rFont val="Noto Sans CJK SC"/>
        <family val="2"/>
      </rPr>
      <t xml:space="preserve">④ じゃんけんを</t>
    </r>
    <r>
      <rPr>
        <b val="true"/>
        <sz val="9"/>
        <rFont val="Meiryo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回して、あいこ（引き分け）になる</t>
    </r>
  </si>
  <si>
    <t xml:space="preserve">⑤ コインを投げて、表が出る</t>
  </si>
  <si>
    <t xml:space="preserve">A</t>
  </si>
  <si>
    <t xml:space="preserve">勝ち</t>
  </si>
  <si>
    <t xml:space="preserve">表</t>
  </si>
  <si>
    <t xml:space="preserve">2</t>
  </si>
  <si>
    <t xml:space="preserve">負け</t>
  </si>
  <si>
    <t xml:space="preserve">裏</t>
  </si>
  <si>
    <t xml:space="preserve">3</t>
  </si>
  <si>
    <t xml:space="preserve">あいこ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</si>
  <si>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</si>
  <si>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</si>
  <si>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</si>
  <si>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</si>
  <si>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</si>
  <si>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</si>
  <si>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</si>
  <si>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J</t>
  </si>
  <si>
    <t xml:space="preserve">Q</t>
  </si>
  <si>
    <t xml:space="preserve">K</t>
  </si>
  <si>
    <t xml:space="preserve">選択肢の数</t>
  </si>
  <si>
    <t xml:space="preserve">注目する結果（起こったとする結果）</t>
  </si>
  <si>
    <r>
      <rPr>
        <sz val="11"/>
        <rFont val="Noto Sans CJK SC"/>
        <family val="2"/>
      </rPr>
      <t xml:space="preserve">さいころで「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」が出る</t>
    </r>
  </si>
  <si>
    <r>
      <rPr>
        <sz val="11"/>
        <rFont val="Noto Sans CJK SC"/>
        <family val="2"/>
      </rPr>
      <t xml:space="preserve">トランプで「</t>
    </r>
    <r>
      <rPr>
        <sz val="11"/>
        <rFont val="Meiryo"/>
        <family val="0"/>
        <charset val="1"/>
      </rPr>
      <t xml:space="preserve">A</t>
    </r>
    <r>
      <rPr>
        <sz val="11"/>
        <rFont val="Noto Sans CJK SC"/>
        <family val="2"/>
      </rPr>
      <t xml:space="preserve">（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）」が出る</t>
    </r>
  </si>
  <si>
    <t xml:space="preserve">じゃんけんで「あいこ」になる</t>
  </si>
  <si>
    <t xml:space="preserve">コインで「表」が出る</t>
  </si>
  <si>
    <t xml:space="preserve">入力のヒント</t>
  </si>
  <si>
    <r>
      <rPr>
        <sz val="9"/>
        <rFont val="Noto Sans CJK SC"/>
        <family val="2"/>
      </rPr>
      <t xml:space="preserve">出た目（</t>
    </r>
    <r>
      <rPr>
        <sz val="9"/>
        <rFont val="Meiryo"/>
        <family val="0"/>
        <charset val="1"/>
      </rPr>
      <t xml:space="preserve">1</t>
    </r>
    <r>
      <rPr>
        <sz val="9"/>
        <rFont val="Noto Sans CJK SC"/>
        <family val="2"/>
      </rPr>
      <t xml:space="preserve">〜</t>
    </r>
    <r>
      <rPr>
        <sz val="9"/>
        <rFont val="Meiryo"/>
        <family val="0"/>
        <charset val="1"/>
      </rPr>
      <t xml:space="preserve">6</t>
    </r>
    <r>
      <rPr>
        <sz val="9"/>
        <rFont val="Noto Sans CJK SC"/>
        <family val="2"/>
      </rPr>
      <t xml:space="preserve">）を選ぶ</t>
    </r>
  </si>
  <si>
    <r>
      <rPr>
        <sz val="9"/>
        <rFont val="Noto Sans CJK SC"/>
        <family val="2"/>
      </rPr>
      <t xml:space="preserve">ひいたカード（</t>
    </r>
    <r>
      <rPr>
        <sz val="9"/>
        <rFont val="Meiryo"/>
        <family val="0"/>
        <charset val="1"/>
      </rPr>
      <t xml:space="preserve">A,2</t>
    </r>
    <r>
      <rPr>
        <sz val="9"/>
        <rFont val="Noto Sans CJK SC"/>
        <family val="2"/>
      </rPr>
      <t xml:space="preserve">〜</t>
    </r>
    <r>
      <rPr>
        <sz val="9"/>
        <rFont val="Meiryo"/>
        <family val="0"/>
        <charset val="1"/>
      </rPr>
      <t xml:space="preserve">10,J,Q,K</t>
    </r>
    <r>
      <rPr>
        <sz val="9"/>
        <rFont val="Noto Sans CJK SC"/>
        <family val="2"/>
      </rPr>
      <t xml:space="preserve">）を選ぶ（</t>
    </r>
    <r>
      <rPr>
        <sz val="9"/>
        <rFont val="Meiryo"/>
        <family val="0"/>
        <charset val="1"/>
      </rPr>
      <t xml:space="preserve">A</t>
    </r>
    <r>
      <rPr>
        <sz val="9"/>
        <rFont val="Noto Sans CJK SC"/>
        <family val="2"/>
      </rPr>
      <t xml:space="preserve">が「</t>
    </r>
    <r>
      <rPr>
        <sz val="9"/>
        <rFont val="Meiryo"/>
        <family val="0"/>
        <charset val="1"/>
      </rPr>
      <t xml:space="preserve">1</t>
    </r>
    <r>
      <rPr>
        <sz val="9"/>
        <rFont val="Noto Sans CJK SC"/>
        <family val="2"/>
      </rPr>
      <t xml:space="preserve">」）</t>
    </r>
  </si>
  <si>
    <t xml:space="preserve">自分から見た結果（勝ち／負け／あいこ）を選ぶ</t>
  </si>
  <si>
    <t xml:space="preserve">出た面（表／裏）を選ぶ</t>
  </si>
  <si>
    <t xml:space="preserve">テーマ一覧</t>
  </si>
  <si>
    <r>
      <rPr>
        <sz val="11"/>
        <rFont val="Noto Sans CJK SC"/>
        <family val="2"/>
      </rPr>
      <t xml:space="preserve">① さいころを投げて、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が出る</t>
    </r>
  </si>
  <si>
    <r>
      <rPr>
        <sz val="11"/>
        <rFont val="Noto Sans CJK SC"/>
        <family val="2"/>
      </rPr>
      <t xml:space="preserve">② トランプ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Meiryo"/>
        <family val="0"/>
        <charset val="1"/>
      </rPr>
      <t xml:space="preserve">13</t>
    </r>
    <r>
      <rPr>
        <sz val="11"/>
        <rFont val="Noto Sans CJK SC"/>
        <family val="2"/>
      </rPr>
      <t xml:space="preserve">から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枚ひいて、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が出る</t>
    </r>
  </si>
  <si>
    <r>
      <rPr>
        <sz val="11"/>
        <rFont val="Noto Sans CJK SC"/>
        <family val="2"/>
      </rPr>
      <t xml:space="preserve">③ トランプ</t>
    </r>
    <r>
      <rPr>
        <sz val="11"/>
        <rFont val="Meiryo"/>
        <family val="0"/>
        <charset val="1"/>
      </rPr>
      <t xml:space="preserve">52</t>
    </r>
    <r>
      <rPr>
        <sz val="11"/>
        <rFont val="Noto Sans CJK SC"/>
        <family val="2"/>
      </rPr>
      <t xml:space="preserve">枚から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枚ひいて、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（</t>
    </r>
    <r>
      <rPr>
        <sz val="11"/>
        <rFont val="Meiryo"/>
        <family val="0"/>
        <charset val="1"/>
      </rPr>
      <t xml:space="preserve">A</t>
    </r>
    <r>
      <rPr>
        <sz val="11"/>
        <rFont val="Noto Sans CJK SC"/>
        <family val="2"/>
      </rPr>
      <t xml:space="preserve">）が出る</t>
    </r>
  </si>
  <si>
    <r>
      <rPr>
        <sz val="11"/>
        <rFont val="Noto Sans CJK SC"/>
        <family val="2"/>
      </rPr>
      <t xml:space="preserve">④ じゃんけんを</t>
    </r>
    <r>
      <rPr>
        <sz val="11"/>
        <rFont val="Meiryo"/>
        <family val="0"/>
        <charset val="1"/>
      </rPr>
      <t xml:space="preserve">1</t>
    </r>
    <r>
      <rPr>
        <sz val="11"/>
        <rFont val="Noto Sans CJK SC"/>
        <family val="2"/>
      </rPr>
      <t xml:space="preserve">回して、あいこ（引き分け）になる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</si>
</sst>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"/>
    <numFmt numFmtId="167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Meiryo"/>
      <family val="0"/>
      <charset val="1"/>
    </font>
    <font>
      <b val="true"/>
      <sz val="9"/>
      <name val="Noto Sans CJK SC"/>
      <family val="2"/>
    </font>
    <font>
      <b val="true"/>
      <sz val="9"/>
      <name val="Meiryo"/>
      <family val="0"/>
      <charset val="1"/>
    </font>
    <font>
      <sz val="11"/>
      <color rgb="FF0000FF"/>
      <name val="Meiryo"/>
      <family val="0"/>
      <charset val="1"/>
    </font>
    <font>
      <b val="true"/>
      <sz val="11"/>
      <name val="Noto Sans CJK SC"/>
      <family val="2"/>
    </font>
    <font>
      <b val="true"/>
      <sz val="12"/>
      <name val="Meiryo"/>
      <family val="0"/>
      <charset val="1"/>
    </font>
    <font>
      <sz val="11"/>
      <name val="Meiryo"/>
      <family val="0"/>
      <charset val="1"/>
    </font>
    <font>
      <b val="true"/>
      <sz val="12"/>
      <color rgb="FFB8860B"/>
      <name val="Meiryo"/>
      <family val="0"/>
      <charset val="1"/>
    </font>
    <font>
      <sz val="9"/>
      <name val="Noto Sans CJK SC"/>
      <family val="2"/>
    </font>
    <font>
      <sz val="9"/>
      <name val="Meiryo"/>
      <family val="0"/>
      <charset val="1"/>
    </font>
    <font>
      <b val="true"/>
      <sz val="10"/>
      <name val="Noto Sans CJK SC"/>
      <family val="2"/>
    </font>
    <font>
      <b val="true"/>
      <sz val="10"/>
      <name val="Meiryo"/>
      <family val="0"/>
      <charset val="1"/>
    </font>
    <font>
      <sz val="10"/>
      <name val="Meiryo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sz val="10"/>
      <color rgb="FF000000"/>
      <name val="Meiryo"/>
      <family val="0"/>
      <charset val="1"/>
    </font>
    <font>
      <b val="true"/>
      <sz val="10"/>
      <color rgb="FFB8860B"/>
      <name val="Meiryo"/>
      <family val="0"/>
      <charset val="1"/>
    </font>
    <font>
      <sz val="10"/>
      <color rgb="FF808080"/>
      <name val="Meiryo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color rgb="FFC00000"/>
      <name val="Noto Sans CJK SC"/>
      <family val="2"/>
    </font>
    <font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00"/>
      <rgbColor rgb="FFFF6600"/>
      <rgbColor rgb="FF878787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相対度数のグラフ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"相対度数"</c:f>
              <c:strCache>
                <c:ptCount val="1"/>
                <c:pt idx="0">
                  <c:v>相対度数</c:v>
                </c:pt>
              </c:strCache>
            </c:strRef>
          </c:tx>
          <c:spPr>
            <a:solidFill>
              <a:srgbClr val="c99a00"/>
            </a:solidFill>
            <a:ln w="21960">
              <a:solidFill>
                <a:srgbClr val="c99a00"/>
              </a:solidFill>
              <a:round/>
            </a:ln>
          </c:spPr>
          <c:marker>
            <c:symbol val="circle"/>
            <c:size val="6"/>
            <c:spPr>
              <a:solidFill>
                <a:srgbClr val="c99a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結果!$A$9:$A$28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</c:numCache>
            </c:numRef>
          </c:xVal>
          <c:yVal>
            <c:numRef>
              <c:f>結果!$D$9:$D$28</c:f>
              <c:numCache>
                <c:formatCode>0.000</c:formatCode>
                <c:ptCount val="20"/>
              </c:numCache>
            </c:numRef>
          </c:yVal>
          <c:smooth val="0"/>
        </c:ser>
        <c:axId val="5818030"/>
        <c:axId val="86794517"/>
      </c:scatterChart>
      <c:valAx>
        <c:axId val="5818030"/>
        <c:scaling>
          <c:orientation val="minMax"/>
          <c:max val="10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試行回数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94517"/>
        <c:crosses val="autoZero"/>
        <c:crossBetween val="midCat"/>
        <c:majorUnit val="100"/>
      </c:valAx>
      <c:valAx>
        <c:axId val="8679451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相対度数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80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78120</xdr:rowOff>
    </xdr:from>
    <xdr:to>
      <xdr:col>15</xdr:col>
      <xdr:colOff>4680</xdr:colOff>
      <xdr:row>18</xdr:row>
      <xdr:rowOff>20880</xdr:rowOff>
    </xdr:to>
    <xdr:graphicFrame>
      <xdr:nvGraphicFramePr>
        <xdr:cNvPr id="0" name="Chart 1"/>
        <xdr:cNvGraphicFramePr/>
      </xdr:nvGraphicFramePr>
      <xdr:xfrm>
        <a:off x="4699800" y="3808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/>
      <c r="C2" s="3"/>
      <c r="D2" s="3"/>
    </row>
    <row r="3" customFormat="false" ht="15" hidden="false" customHeight="false" outlineLevel="0" collapsed="false">
      <c r="A3" s="2" t="s">
        <v>2</v>
      </c>
      <c r="B3" s="3"/>
      <c r="C3" s="3"/>
      <c r="D3" s="3"/>
      <c r="F3" s="4" t="s">
        <v>3</v>
      </c>
      <c r="G3" s="5" t="n">
        <f aca="false">COUNT(C9:C1008)</f>
        <v>0</v>
      </c>
    </row>
    <row r="4" customFormat="false" ht="15" hidden="false" customHeight="false" outlineLevel="0" collapsed="false">
      <c r="A4" s="4" t="s">
        <v>4</v>
      </c>
      <c r="B4" s="6"/>
      <c r="C4" s="6"/>
      <c r="D4" s="6"/>
      <c r="F4" s="4" t="s">
        <v>5</v>
      </c>
      <c r="G4" s="5" t="n">
        <f aca="false">SUM(C9:C1008)</f>
        <v>0</v>
      </c>
    </row>
    <row r="5" customFormat="false" ht="15" hidden="false" customHeight="false" outlineLevel="0" collapsed="false">
      <c r="A5" s="4" t="s">
        <v>6</v>
      </c>
      <c r="B5" s="7" t="str">
        <f aca="false">IFERROR(INDEX(設定!$B$19:$F$19,MATCH(入力!$B$4,設定!$A$23:$A$27,0))&amp;"　→　起こったら 1 と数える","")</f>
        <v/>
      </c>
      <c r="C5" s="7"/>
      <c r="D5" s="7"/>
      <c r="F5" s="4" t="s">
        <v>7</v>
      </c>
      <c r="G5" s="8" t="str">
        <f aca="false">IF(G3=0,"",G4/G3)</f>
        <v/>
      </c>
    </row>
    <row r="6" customFormat="false" ht="15" hidden="false" customHeight="false" outlineLevel="0" collapsed="false">
      <c r="A6" s="9" t="s">
        <v>8</v>
      </c>
    </row>
    <row r="7" customFormat="false" ht="15" hidden="false" customHeight="false" outlineLevel="0" collapsed="false">
      <c r="A7" s="9" t="s">
        <v>9</v>
      </c>
    </row>
    <row r="8" customFormat="false" ht="31.5" hidden="false" customHeight="true" outlineLevel="0" collapsed="false">
      <c r="A8" s="10" t="s">
        <v>10</v>
      </c>
      <c r="B8" s="10" t="s">
        <v>11</v>
      </c>
      <c r="C8" s="10" t="s">
        <v>12</v>
      </c>
      <c r="F8" s="11" t="s">
        <v>13</v>
      </c>
    </row>
    <row r="9" customFormat="false" ht="15" hidden="false" customHeight="false" outlineLevel="0" collapsed="false">
      <c r="A9" s="12" t="n">
        <v>1</v>
      </c>
      <c r="B9" s="13"/>
      <c r="C9" s="12" t="str">
        <f aca="false">IF(B9="","",IF(B9=IFERROR(INDEX(設定!$B$18:$F$18,MATCH(入力!$B$4,設定!$A$23:$A$27,0)),""),1,0))</f>
        <v/>
      </c>
      <c r="F9" s="14" t="str">
        <f aca="false">IFERROR(INDEX(設定!$B$20:$F$20,MATCH(入力!$B$4,設定!$A$23:$A$27,0)),"")</f>
        <v/>
      </c>
      <c r="G9" s="14"/>
    </row>
    <row r="10" customFormat="false" ht="15" hidden="false" customHeight="false" outlineLevel="0" collapsed="false">
      <c r="A10" s="12" t="n">
        <v>2</v>
      </c>
      <c r="B10" s="13"/>
      <c r="C10" s="12" t="str">
        <f aca="false">IF(B10="","",IF(B10=IFERROR(INDEX(設定!$B$18:$F$18,MATCH(入力!$B$4,設定!$A$23:$A$27,0)),""),1,0))</f>
        <v/>
      </c>
      <c r="F10" s="14"/>
      <c r="G10" s="14"/>
    </row>
    <row r="11" customFormat="false" ht="15" hidden="false" customHeight="false" outlineLevel="0" collapsed="false">
      <c r="A11" s="12" t="n">
        <v>3</v>
      </c>
      <c r="B11" s="13"/>
      <c r="C11" s="12" t="str">
        <f aca="false">IF(B11="","",IF(B11=IFERROR(INDEX(設定!$B$18:$F$18,MATCH(入力!$B$4,設定!$A$23:$A$27,0)),""),1,0))</f>
        <v/>
      </c>
      <c r="F11" s="14"/>
      <c r="G11" s="14"/>
    </row>
    <row r="12" customFormat="false" ht="15" hidden="false" customHeight="false" outlineLevel="0" collapsed="false">
      <c r="A12" s="12" t="n">
        <v>4</v>
      </c>
      <c r="B12" s="13"/>
      <c r="C12" s="12" t="str">
        <f aca="false">IF(B12="","",IF(B12=IFERROR(INDEX(設定!$B$18:$F$18,MATCH(入力!$B$4,設定!$A$23:$A$27,0)),""),1,0))</f>
        <v/>
      </c>
      <c r="F12" s="14"/>
      <c r="G12" s="14"/>
    </row>
    <row r="13" customFormat="false" ht="15" hidden="false" customHeight="false" outlineLevel="0" collapsed="false">
      <c r="A13" s="12" t="n">
        <v>5</v>
      </c>
      <c r="B13" s="13"/>
      <c r="C13" s="12" t="str">
        <f aca="false">IF(B13="","",IF(B13=IFERROR(INDEX(設定!$B$18:$F$18,MATCH(入力!$B$4,設定!$A$23:$A$27,0)),""),1,0))</f>
        <v/>
      </c>
      <c r="F13" s="14"/>
      <c r="G13" s="14"/>
    </row>
    <row r="14" customFormat="false" ht="15" hidden="false" customHeight="false" outlineLevel="0" collapsed="false">
      <c r="A14" s="12" t="n">
        <v>6</v>
      </c>
      <c r="B14" s="13"/>
      <c r="C14" s="12" t="str">
        <f aca="false">IF(B14="","",IF(B14=IFERROR(INDEX(設定!$B$18:$F$18,MATCH(入力!$B$4,設定!$A$23:$A$27,0)),""),1,0))</f>
        <v/>
      </c>
    </row>
    <row r="15" customFormat="false" ht="15" hidden="false" customHeight="false" outlineLevel="0" collapsed="false">
      <c r="A15" s="12" t="n">
        <v>7</v>
      </c>
      <c r="B15" s="13"/>
      <c r="C15" s="12" t="str">
        <f aca="false">IF(B15="","",IF(B15=IFERROR(INDEX(設定!$B$18:$F$18,MATCH(入力!$B$4,設定!$A$23:$A$27,0)),""),1,0))</f>
        <v/>
      </c>
    </row>
    <row r="16" customFormat="false" ht="15" hidden="false" customHeight="false" outlineLevel="0" collapsed="false">
      <c r="A16" s="12" t="n">
        <v>8</v>
      </c>
      <c r="B16" s="13"/>
      <c r="C16" s="12" t="str">
        <f aca="false">IF(B16="","",IF(B16=IFERROR(INDEX(設定!$B$18:$F$18,MATCH(入力!$B$4,設定!$A$23:$A$27,0)),""),1,0))</f>
        <v/>
      </c>
    </row>
    <row r="17" customFormat="false" ht="15" hidden="false" customHeight="false" outlineLevel="0" collapsed="false">
      <c r="A17" s="12" t="n">
        <v>9</v>
      </c>
      <c r="B17" s="13"/>
      <c r="C17" s="12" t="str">
        <f aca="false">IF(B17="","",IF(B17=IFERROR(INDEX(設定!$B$18:$F$18,MATCH(入力!$B$4,設定!$A$23:$A$27,0)),""),1,0))</f>
        <v/>
      </c>
    </row>
    <row r="18" customFormat="false" ht="15" hidden="false" customHeight="false" outlineLevel="0" collapsed="false">
      <c r="A18" s="12" t="n">
        <v>10</v>
      </c>
      <c r="B18" s="13"/>
      <c r="C18" s="12" t="str">
        <f aca="false">IF(B18="","",IF(B18=IFERROR(INDEX(設定!$B$18:$F$18,MATCH(入力!$B$4,設定!$A$23:$A$27,0)),""),1,0))</f>
        <v/>
      </c>
    </row>
    <row r="19" customFormat="false" ht="15" hidden="false" customHeight="false" outlineLevel="0" collapsed="false">
      <c r="A19" s="12" t="n">
        <v>11</v>
      </c>
      <c r="B19" s="13"/>
      <c r="C19" s="12" t="str">
        <f aca="false">IF(B19="","",IF(B19=IFERROR(INDEX(設定!$B$18:$F$18,MATCH(入力!$B$4,設定!$A$23:$A$27,0)),""),1,0))</f>
        <v/>
      </c>
    </row>
    <row r="20" customFormat="false" ht="15" hidden="false" customHeight="false" outlineLevel="0" collapsed="false">
      <c r="A20" s="12" t="n">
        <v>12</v>
      </c>
      <c r="B20" s="13"/>
      <c r="C20" s="12" t="str">
        <f aca="false">IF(B20="","",IF(B20=IFERROR(INDEX(設定!$B$18:$F$18,MATCH(入力!$B$4,設定!$A$23:$A$27,0)),""),1,0))</f>
        <v/>
      </c>
    </row>
    <row r="21" customFormat="false" ht="15" hidden="false" customHeight="false" outlineLevel="0" collapsed="false">
      <c r="A21" s="12" t="n">
        <v>13</v>
      </c>
      <c r="B21" s="13"/>
      <c r="C21" s="12" t="str">
        <f aca="false">IF(B21="","",IF(B21=IFERROR(INDEX(設定!$B$18:$F$18,MATCH(入力!$B$4,設定!$A$23:$A$27,0)),""),1,0))</f>
        <v/>
      </c>
    </row>
    <row r="22" customFormat="false" ht="15" hidden="false" customHeight="false" outlineLevel="0" collapsed="false">
      <c r="A22" s="12" t="n">
        <v>14</v>
      </c>
      <c r="B22" s="13"/>
      <c r="C22" s="12" t="str">
        <f aca="false">IF(B22="","",IF(B22=IFERROR(INDEX(設定!$B$18:$F$18,MATCH(入力!$B$4,設定!$A$23:$A$27,0)),""),1,0))</f>
        <v/>
      </c>
    </row>
    <row r="23" customFormat="false" ht="15" hidden="false" customHeight="false" outlineLevel="0" collapsed="false">
      <c r="A23" s="12" t="n">
        <v>15</v>
      </c>
      <c r="B23" s="13"/>
      <c r="C23" s="12" t="str">
        <f aca="false">IF(B23="","",IF(B23=IFERROR(INDEX(設定!$B$18:$F$18,MATCH(入力!$B$4,設定!$A$23:$A$27,0)),""),1,0))</f>
        <v/>
      </c>
    </row>
    <row r="24" customFormat="false" ht="15" hidden="false" customHeight="false" outlineLevel="0" collapsed="false">
      <c r="A24" s="12" t="n">
        <v>16</v>
      </c>
      <c r="B24" s="13"/>
      <c r="C24" s="12" t="str">
        <f aca="false">IF(B24="","",IF(B24=IFERROR(INDEX(設定!$B$18:$F$18,MATCH(入力!$B$4,設定!$A$23:$A$27,0)),""),1,0))</f>
        <v/>
      </c>
    </row>
    <row r="25" customFormat="false" ht="15" hidden="false" customHeight="false" outlineLevel="0" collapsed="false">
      <c r="A25" s="12" t="n">
        <v>17</v>
      </c>
      <c r="B25" s="13"/>
      <c r="C25" s="12" t="str">
        <f aca="false">IF(B25="","",IF(B25=IFERROR(INDEX(設定!$B$18:$F$18,MATCH(入力!$B$4,設定!$A$23:$A$27,0)),""),1,0))</f>
        <v/>
      </c>
    </row>
    <row r="26" customFormat="false" ht="15" hidden="false" customHeight="false" outlineLevel="0" collapsed="false">
      <c r="A26" s="12" t="n">
        <v>18</v>
      </c>
      <c r="B26" s="13"/>
      <c r="C26" s="12" t="str">
        <f aca="false">IF(B26="","",IF(B26=IFERROR(INDEX(設定!$B$18:$F$18,MATCH(入力!$B$4,設定!$A$23:$A$27,0)),""),1,0))</f>
        <v/>
      </c>
    </row>
    <row r="27" customFormat="false" ht="15" hidden="false" customHeight="false" outlineLevel="0" collapsed="false">
      <c r="A27" s="12" t="n">
        <v>19</v>
      </c>
      <c r="B27" s="13"/>
      <c r="C27" s="12" t="str">
        <f aca="false">IF(B27="","",IF(B27=IFERROR(INDEX(設定!$B$18:$F$18,MATCH(入力!$B$4,設定!$A$23:$A$27,0)),""),1,0))</f>
        <v/>
      </c>
    </row>
    <row r="28" customFormat="false" ht="15" hidden="false" customHeight="false" outlineLevel="0" collapsed="false">
      <c r="A28" s="12" t="n">
        <v>20</v>
      </c>
      <c r="B28" s="13"/>
      <c r="C28" s="12" t="str">
        <f aca="false">IF(B28="","",IF(B28=IFERROR(INDEX(設定!$B$18:$F$18,MATCH(入力!$B$4,設定!$A$23:$A$27,0)),""),1,0))</f>
        <v/>
      </c>
    </row>
    <row r="29" customFormat="false" ht="15" hidden="false" customHeight="false" outlineLevel="0" collapsed="false">
      <c r="A29" s="12" t="n">
        <v>21</v>
      </c>
      <c r="B29" s="13"/>
      <c r="C29" s="12" t="str">
        <f aca="false">IF(B29="","",IF(B29=IFERROR(INDEX(設定!$B$18:$F$18,MATCH(入力!$B$4,設定!$A$23:$A$27,0)),""),1,0))</f>
        <v/>
      </c>
    </row>
    <row r="30" customFormat="false" ht="15" hidden="false" customHeight="false" outlineLevel="0" collapsed="false">
      <c r="A30" s="12" t="n">
        <v>22</v>
      </c>
      <c r="B30" s="13"/>
      <c r="C30" s="12" t="str">
        <f aca="false">IF(B30="","",IF(B30=IFERROR(INDEX(設定!$B$18:$F$18,MATCH(入力!$B$4,設定!$A$23:$A$27,0)),""),1,0))</f>
        <v/>
      </c>
    </row>
    <row r="31" customFormat="false" ht="15" hidden="false" customHeight="false" outlineLevel="0" collapsed="false">
      <c r="A31" s="12" t="n">
        <v>23</v>
      </c>
      <c r="B31" s="13"/>
      <c r="C31" s="12" t="str">
        <f aca="false">IF(B31="","",IF(B31=IFERROR(INDEX(設定!$B$18:$F$18,MATCH(入力!$B$4,設定!$A$23:$A$27,0)),""),1,0))</f>
        <v/>
      </c>
    </row>
    <row r="32" customFormat="false" ht="15" hidden="false" customHeight="false" outlineLevel="0" collapsed="false">
      <c r="A32" s="12" t="n">
        <v>24</v>
      </c>
      <c r="B32" s="13"/>
      <c r="C32" s="12" t="str">
        <f aca="false">IF(B32="","",IF(B32=IFERROR(INDEX(設定!$B$18:$F$18,MATCH(入力!$B$4,設定!$A$23:$A$27,0)),""),1,0))</f>
        <v/>
      </c>
    </row>
    <row r="33" customFormat="false" ht="15" hidden="false" customHeight="false" outlineLevel="0" collapsed="false">
      <c r="A33" s="12" t="n">
        <v>25</v>
      </c>
      <c r="B33" s="13"/>
      <c r="C33" s="12" t="str">
        <f aca="false">IF(B33="","",IF(B33=IFERROR(INDEX(設定!$B$18:$F$18,MATCH(入力!$B$4,設定!$A$23:$A$27,0)),""),1,0))</f>
        <v/>
      </c>
    </row>
    <row r="34" customFormat="false" ht="15" hidden="false" customHeight="false" outlineLevel="0" collapsed="false">
      <c r="A34" s="12" t="n">
        <v>26</v>
      </c>
      <c r="B34" s="13"/>
      <c r="C34" s="12" t="str">
        <f aca="false">IF(B34="","",IF(B34=IFERROR(INDEX(設定!$B$18:$F$18,MATCH(入力!$B$4,設定!$A$23:$A$27,0)),""),1,0))</f>
        <v/>
      </c>
    </row>
    <row r="35" customFormat="false" ht="15" hidden="false" customHeight="false" outlineLevel="0" collapsed="false">
      <c r="A35" s="12" t="n">
        <v>27</v>
      </c>
      <c r="B35" s="13"/>
      <c r="C35" s="12" t="str">
        <f aca="false">IF(B35="","",IF(B35=IFERROR(INDEX(設定!$B$18:$F$18,MATCH(入力!$B$4,設定!$A$23:$A$27,0)),""),1,0))</f>
        <v/>
      </c>
    </row>
    <row r="36" customFormat="false" ht="15" hidden="false" customHeight="false" outlineLevel="0" collapsed="false">
      <c r="A36" s="12" t="n">
        <v>28</v>
      </c>
      <c r="B36" s="13"/>
      <c r="C36" s="12" t="str">
        <f aca="false">IF(B36="","",IF(B36=IFERROR(INDEX(設定!$B$18:$F$18,MATCH(入力!$B$4,設定!$A$23:$A$27,0)),""),1,0))</f>
        <v/>
      </c>
    </row>
    <row r="37" customFormat="false" ht="15" hidden="false" customHeight="false" outlineLevel="0" collapsed="false">
      <c r="A37" s="12" t="n">
        <v>29</v>
      </c>
      <c r="B37" s="13"/>
      <c r="C37" s="12" t="str">
        <f aca="false">IF(B37="","",IF(B37=IFERROR(INDEX(設定!$B$18:$F$18,MATCH(入力!$B$4,設定!$A$23:$A$27,0)),""),1,0))</f>
        <v/>
      </c>
    </row>
    <row r="38" customFormat="false" ht="15" hidden="false" customHeight="false" outlineLevel="0" collapsed="false">
      <c r="A38" s="12" t="n">
        <v>30</v>
      </c>
      <c r="B38" s="13"/>
      <c r="C38" s="12" t="str">
        <f aca="false">IF(B38="","",IF(B38=IFERROR(INDEX(設定!$B$18:$F$18,MATCH(入力!$B$4,設定!$A$23:$A$27,0)),""),1,0))</f>
        <v/>
      </c>
    </row>
    <row r="39" customFormat="false" ht="15" hidden="false" customHeight="false" outlineLevel="0" collapsed="false">
      <c r="A39" s="12" t="n">
        <v>31</v>
      </c>
      <c r="B39" s="13"/>
      <c r="C39" s="12" t="str">
        <f aca="false">IF(B39="","",IF(B39=IFERROR(INDEX(設定!$B$18:$F$18,MATCH(入力!$B$4,設定!$A$23:$A$27,0)),""),1,0))</f>
        <v/>
      </c>
    </row>
    <row r="40" customFormat="false" ht="15" hidden="false" customHeight="false" outlineLevel="0" collapsed="false">
      <c r="A40" s="12" t="n">
        <v>32</v>
      </c>
      <c r="B40" s="13"/>
      <c r="C40" s="12" t="str">
        <f aca="false">IF(B40="","",IF(B40=IFERROR(INDEX(設定!$B$18:$F$18,MATCH(入力!$B$4,設定!$A$23:$A$27,0)),""),1,0))</f>
        <v/>
      </c>
    </row>
    <row r="41" customFormat="false" ht="15" hidden="false" customHeight="false" outlineLevel="0" collapsed="false">
      <c r="A41" s="12" t="n">
        <v>33</v>
      </c>
      <c r="B41" s="13"/>
      <c r="C41" s="12" t="str">
        <f aca="false">IF(B41="","",IF(B41=IFERROR(INDEX(設定!$B$18:$F$18,MATCH(入力!$B$4,設定!$A$23:$A$27,0)),""),1,0))</f>
        <v/>
      </c>
    </row>
    <row r="42" customFormat="false" ht="15" hidden="false" customHeight="false" outlineLevel="0" collapsed="false">
      <c r="A42" s="12" t="n">
        <v>34</v>
      </c>
      <c r="B42" s="13"/>
      <c r="C42" s="12" t="str">
        <f aca="false">IF(B42="","",IF(B42=IFERROR(INDEX(設定!$B$18:$F$18,MATCH(入力!$B$4,設定!$A$23:$A$27,0)),""),1,0))</f>
        <v/>
      </c>
    </row>
    <row r="43" customFormat="false" ht="15" hidden="false" customHeight="false" outlineLevel="0" collapsed="false">
      <c r="A43" s="12" t="n">
        <v>35</v>
      </c>
      <c r="B43" s="13"/>
      <c r="C43" s="12" t="str">
        <f aca="false">IF(B43="","",IF(B43=IFERROR(INDEX(設定!$B$18:$F$18,MATCH(入力!$B$4,設定!$A$23:$A$27,0)),""),1,0))</f>
        <v/>
      </c>
    </row>
    <row r="44" customFormat="false" ht="15" hidden="false" customHeight="false" outlineLevel="0" collapsed="false">
      <c r="A44" s="12" t="n">
        <v>36</v>
      </c>
      <c r="B44" s="13"/>
      <c r="C44" s="12" t="str">
        <f aca="false">IF(B44="","",IF(B44=IFERROR(INDEX(設定!$B$18:$F$18,MATCH(入力!$B$4,設定!$A$23:$A$27,0)),""),1,0))</f>
        <v/>
      </c>
    </row>
    <row r="45" customFormat="false" ht="15" hidden="false" customHeight="false" outlineLevel="0" collapsed="false">
      <c r="A45" s="12" t="n">
        <v>37</v>
      </c>
      <c r="B45" s="13"/>
      <c r="C45" s="12" t="str">
        <f aca="false">IF(B45="","",IF(B45=IFERROR(INDEX(設定!$B$18:$F$18,MATCH(入力!$B$4,設定!$A$23:$A$27,0)),""),1,0))</f>
        <v/>
      </c>
    </row>
    <row r="46" customFormat="false" ht="15" hidden="false" customHeight="false" outlineLevel="0" collapsed="false">
      <c r="A46" s="12" t="n">
        <v>38</v>
      </c>
      <c r="B46" s="13"/>
      <c r="C46" s="12" t="str">
        <f aca="false">IF(B46="","",IF(B46=IFERROR(INDEX(設定!$B$18:$F$18,MATCH(入力!$B$4,設定!$A$23:$A$27,0)),""),1,0))</f>
        <v/>
      </c>
    </row>
    <row r="47" customFormat="false" ht="15" hidden="false" customHeight="false" outlineLevel="0" collapsed="false">
      <c r="A47" s="12" t="n">
        <v>39</v>
      </c>
      <c r="B47" s="13"/>
      <c r="C47" s="12" t="str">
        <f aca="false">IF(B47="","",IF(B47=IFERROR(INDEX(設定!$B$18:$F$18,MATCH(入力!$B$4,設定!$A$23:$A$27,0)),""),1,0))</f>
        <v/>
      </c>
    </row>
    <row r="48" customFormat="false" ht="15" hidden="false" customHeight="false" outlineLevel="0" collapsed="false">
      <c r="A48" s="12" t="n">
        <v>40</v>
      </c>
      <c r="B48" s="13"/>
      <c r="C48" s="12" t="str">
        <f aca="false">IF(B48="","",IF(B48=IFERROR(INDEX(設定!$B$18:$F$18,MATCH(入力!$B$4,設定!$A$23:$A$27,0)),""),1,0))</f>
        <v/>
      </c>
    </row>
    <row r="49" customFormat="false" ht="15" hidden="false" customHeight="false" outlineLevel="0" collapsed="false">
      <c r="A49" s="12" t="n">
        <v>41</v>
      </c>
      <c r="B49" s="13"/>
      <c r="C49" s="12" t="str">
        <f aca="false">IF(B49="","",IF(B49=IFERROR(INDEX(設定!$B$18:$F$18,MATCH(入力!$B$4,設定!$A$23:$A$27,0)),""),1,0))</f>
        <v/>
      </c>
    </row>
    <row r="50" customFormat="false" ht="15" hidden="false" customHeight="false" outlineLevel="0" collapsed="false">
      <c r="A50" s="12" t="n">
        <v>42</v>
      </c>
      <c r="B50" s="13"/>
      <c r="C50" s="12" t="str">
        <f aca="false">IF(B50="","",IF(B50=IFERROR(INDEX(設定!$B$18:$F$18,MATCH(入力!$B$4,設定!$A$23:$A$27,0)),""),1,0))</f>
        <v/>
      </c>
    </row>
    <row r="51" customFormat="false" ht="15" hidden="false" customHeight="false" outlineLevel="0" collapsed="false">
      <c r="A51" s="12" t="n">
        <v>43</v>
      </c>
      <c r="B51" s="13"/>
      <c r="C51" s="12" t="str">
        <f aca="false">IF(B51="","",IF(B51=IFERROR(INDEX(設定!$B$18:$F$18,MATCH(入力!$B$4,設定!$A$23:$A$27,0)),""),1,0))</f>
        <v/>
      </c>
    </row>
    <row r="52" customFormat="false" ht="15" hidden="false" customHeight="false" outlineLevel="0" collapsed="false">
      <c r="A52" s="12" t="n">
        <v>44</v>
      </c>
      <c r="B52" s="13"/>
      <c r="C52" s="12" t="str">
        <f aca="false">IF(B52="","",IF(B52=IFERROR(INDEX(設定!$B$18:$F$18,MATCH(入力!$B$4,設定!$A$23:$A$27,0)),""),1,0))</f>
        <v/>
      </c>
    </row>
    <row r="53" customFormat="false" ht="15" hidden="false" customHeight="false" outlineLevel="0" collapsed="false">
      <c r="A53" s="12" t="n">
        <v>45</v>
      </c>
      <c r="B53" s="13"/>
      <c r="C53" s="12" t="str">
        <f aca="false">IF(B53="","",IF(B53=IFERROR(INDEX(設定!$B$18:$F$18,MATCH(入力!$B$4,設定!$A$23:$A$27,0)),""),1,0))</f>
        <v/>
      </c>
    </row>
    <row r="54" customFormat="false" ht="15" hidden="false" customHeight="false" outlineLevel="0" collapsed="false">
      <c r="A54" s="12" t="n">
        <v>46</v>
      </c>
      <c r="B54" s="13"/>
      <c r="C54" s="12" t="str">
        <f aca="false">IF(B54="","",IF(B54=IFERROR(INDEX(設定!$B$18:$F$18,MATCH(入力!$B$4,設定!$A$23:$A$27,0)),""),1,0))</f>
        <v/>
      </c>
    </row>
    <row r="55" customFormat="false" ht="15" hidden="false" customHeight="false" outlineLevel="0" collapsed="false">
      <c r="A55" s="12" t="n">
        <v>47</v>
      </c>
      <c r="B55" s="13"/>
      <c r="C55" s="12" t="str">
        <f aca="false">IF(B55="","",IF(B55=IFERROR(INDEX(設定!$B$18:$F$18,MATCH(入力!$B$4,設定!$A$23:$A$27,0)),""),1,0))</f>
        <v/>
      </c>
    </row>
    <row r="56" customFormat="false" ht="15" hidden="false" customHeight="false" outlineLevel="0" collapsed="false">
      <c r="A56" s="12" t="n">
        <v>48</v>
      </c>
      <c r="B56" s="13"/>
      <c r="C56" s="12" t="str">
        <f aca="false">IF(B56="","",IF(B56=IFERROR(INDEX(設定!$B$18:$F$18,MATCH(入力!$B$4,設定!$A$23:$A$27,0)),""),1,0))</f>
        <v/>
      </c>
    </row>
    <row r="57" customFormat="false" ht="15" hidden="false" customHeight="false" outlineLevel="0" collapsed="false">
      <c r="A57" s="12" t="n">
        <v>49</v>
      </c>
      <c r="B57" s="13"/>
      <c r="C57" s="12" t="str">
        <f aca="false">IF(B57="","",IF(B57=IFERROR(INDEX(設定!$B$18:$F$18,MATCH(入力!$B$4,設定!$A$23:$A$27,0)),""),1,0))</f>
        <v/>
      </c>
    </row>
    <row r="58" customFormat="false" ht="15" hidden="false" customHeight="false" outlineLevel="0" collapsed="false">
      <c r="A58" s="12" t="n">
        <v>50</v>
      </c>
      <c r="B58" s="13"/>
      <c r="C58" s="12" t="str">
        <f aca="false">IF(B58="","",IF(B58=IFERROR(INDEX(設定!$B$18:$F$18,MATCH(入力!$B$4,設定!$A$23:$A$27,0)),""),1,0))</f>
        <v/>
      </c>
    </row>
    <row r="59" customFormat="false" ht="15" hidden="false" customHeight="false" outlineLevel="0" collapsed="false">
      <c r="A59" s="12" t="n">
        <v>51</v>
      </c>
      <c r="B59" s="13"/>
      <c r="C59" s="12" t="str">
        <f aca="false">IF(B59="","",IF(B59=IFERROR(INDEX(設定!$B$18:$F$18,MATCH(入力!$B$4,設定!$A$23:$A$27,0)),""),1,0))</f>
        <v/>
      </c>
    </row>
    <row r="60" customFormat="false" ht="15" hidden="false" customHeight="false" outlineLevel="0" collapsed="false">
      <c r="A60" s="12" t="n">
        <v>52</v>
      </c>
      <c r="B60" s="13"/>
      <c r="C60" s="12" t="str">
        <f aca="false">IF(B60="","",IF(B60=IFERROR(INDEX(設定!$B$18:$F$18,MATCH(入力!$B$4,設定!$A$23:$A$27,0)),""),1,0))</f>
        <v/>
      </c>
    </row>
    <row r="61" customFormat="false" ht="15" hidden="false" customHeight="false" outlineLevel="0" collapsed="false">
      <c r="A61" s="12" t="n">
        <v>53</v>
      </c>
      <c r="B61" s="13"/>
      <c r="C61" s="12" t="str">
        <f aca="false">IF(B61="","",IF(B61=IFERROR(INDEX(設定!$B$18:$F$18,MATCH(入力!$B$4,設定!$A$23:$A$27,0)),""),1,0))</f>
        <v/>
      </c>
    </row>
    <row r="62" customFormat="false" ht="15" hidden="false" customHeight="false" outlineLevel="0" collapsed="false">
      <c r="A62" s="12" t="n">
        <v>54</v>
      </c>
      <c r="B62" s="13"/>
      <c r="C62" s="12" t="str">
        <f aca="false">IF(B62="","",IF(B62=IFERROR(INDEX(設定!$B$18:$F$18,MATCH(入力!$B$4,設定!$A$23:$A$27,0)),""),1,0))</f>
        <v/>
      </c>
    </row>
    <row r="63" customFormat="false" ht="15" hidden="false" customHeight="false" outlineLevel="0" collapsed="false">
      <c r="A63" s="12" t="n">
        <v>55</v>
      </c>
      <c r="B63" s="13"/>
      <c r="C63" s="12" t="str">
        <f aca="false">IF(B63="","",IF(B63=IFERROR(INDEX(設定!$B$18:$F$18,MATCH(入力!$B$4,設定!$A$23:$A$27,0)),""),1,0))</f>
        <v/>
      </c>
    </row>
    <row r="64" customFormat="false" ht="15" hidden="false" customHeight="false" outlineLevel="0" collapsed="false">
      <c r="A64" s="12" t="n">
        <v>56</v>
      </c>
      <c r="B64" s="13"/>
      <c r="C64" s="12" t="str">
        <f aca="false">IF(B64="","",IF(B64=IFERROR(INDEX(設定!$B$18:$F$18,MATCH(入力!$B$4,設定!$A$23:$A$27,0)),""),1,0))</f>
        <v/>
      </c>
    </row>
    <row r="65" customFormat="false" ht="15" hidden="false" customHeight="false" outlineLevel="0" collapsed="false">
      <c r="A65" s="12" t="n">
        <v>57</v>
      </c>
      <c r="B65" s="13"/>
      <c r="C65" s="12" t="str">
        <f aca="false">IF(B65="","",IF(B65=IFERROR(INDEX(設定!$B$18:$F$18,MATCH(入力!$B$4,設定!$A$23:$A$27,0)),""),1,0))</f>
        <v/>
      </c>
    </row>
    <row r="66" customFormat="false" ht="15" hidden="false" customHeight="false" outlineLevel="0" collapsed="false">
      <c r="A66" s="12" t="n">
        <v>58</v>
      </c>
      <c r="B66" s="13"/>
      <c r="C66" s="12" t="str">
        <f aca="false">IF(B66="","",IF(B66=IFERROR(INDEX(設定!$B$18:$F$18,MATCH(入力!$B$4,設定!$A$23:$A$27,0)),""),1,0))</f>
        <v/>
      </c>
    </row>
    <row r="67" customFormat="false" ht="15" hidden="false" customHeight="false" outlineLevel="0" collapsed="false">
      <c r="A67" s="12" t="n">
        <v>59</v>
      </c>
      <c r="B67" s="13"/>
      <c r="C67" s="12" t="str">
        <f aca="false">IF(B67="","",IF(B67=IFERROR(INDEX(設定!$B$18:$F$18,MATCH(入力!$B$4,設定!$A$23:$A$27,0)),""),1,0))</f>
        <v/>
      </c>
    </row>
    <row r="68" customFormat="false" ht="15" hidden="false" customHeight="false" outlineLevel="0" collapsed="false">
      <c r="A68" s="12" t="n">
        <v>60</v>
      </c>
      <c r="B68" s="13"/>
      <c r="C68" s="12" t="str">
        <f aca="false">IF(B68="","",IF(B68=IFERROR(INDEX(設定!$B$18:$F$18,MATCH(入力!$B$4,設定!$A$23:$A$27,0)),""),1,0))</f>
        <v/>
      </c>
    </row>
    <row r="69" customFormat="false" ht="15" hidden="false" customHeight="false" outlineLevel="0" collapsed="false">
      <c r="A69" s="12" t="n">
        <v>61</v>
      </c>
      <c r="B69" s="13"/>
      <c r="C69" s="12" t="str">
        <f aca="false">IF(B69="","",IF(B69=IFERROR(INDEX(設定!$B$18:$F$18,MATCH(入力!$B$4,設定!$A$23:$A$27,0)),""),1,0))</f>
        <v/>
      </c>
    </row>
    <row r="70" customFormat="false" ht="15" hidden="false" customHeight="false" outlineLevel="0" collapsed="false">
      <c r="A70" s="12" t="n">
        <v>62</v>
      </c>
      <c r="B70" s="13"/>
      <c r="C70" s="12" t="str">
        <f aca="false">IF(B70="","",IF(B70=IFERROR(INDEX(設定!$B$18:$F$18,MATCH(入力!$B$4,設定!$A$23:$A$27,0)),""),1,0))</f>
        <v/>
      </c>
    </row>
    <row r="71" customFormat="false" ht="15" hidden="false" customHeight="false" outlineLevel="0" collapsed="false">
      <c r="A71" s="12" t="n">
        <v>63</v>
      </c>
      <c r="B71" s="13"/>
      <c r="C71" s="12" t="str">
        <f aca="false">IF(B71="","",IF(B71=IFERROR(INDEX(設定!$B$18:$F$18,MATCH(入力!$B$4,設定!$A$23:$A$27,0)),""),1,0))</f>
        <v/>
      </c>
    </row>
    <row r="72" customFormat="false" ht="15" hidden="false" customHeight="false" outlineLevel="0" collapsed="false">
      <c r="A72" s="12" t="n">
        <v>64</v>
      </c>
      <c r="B72" s="13"/>
      <c r="C72" s="12" t="str">
        <f aca="false">IF(B72="","",IF(B72=IFERROR(INDEX(設定!$B$18:$F$18,MATCH(入力!$B$4,設定!$A$23:$A$27,0)),""),1,0))</f>
        <v/>
      </c>
    </row>
    <row r="73" customFormat="false" ht="15" hidden="false" customHeight="false" outlineLevel="0" collapsed="false">
      <c r="A73" s="12" t="n">
        <v>65</v>
      </c>
      <c r="B73" s="13"/>
      <c r="C73" s="12" t="str">
        <f aca="false">IF(B73="","",IF(B73=IFERROR(INDEX(設定!$B$18:$F$18,MATCH(入力!$B$4,設定!$A$23:$A$27,0)),""),1,0))</f>
        <v/>
      </c>
    </row>
    <row r="74" customFormat="false" ht="15" hidden="false" customHeight="false" outlineLevel="0" collapsed="false">
      <c r="A74" s="12" t="n">
        <v>66</v>
      </c>
      <c r="B74" s="13"/>
      <c r="C74" s="12" t="str">
        <f aca="false">IF(B74="","",IF(B74=IFERROR(INDEX(設定!$B$18:$F$18,MATCH(入力!$B$4,設定!$A$23:$A$27,0)),""),1,0))</f>
        <v/>
      </c>
    </row>
    <row r="75" customFormat="false" ht="15" hidden="false" customHeight="false" outlineLevel="0" collapsed="false">
      <c r="A75" s="12" t="n">
        <v>67</v>
      </c>
      <c r="B75" s="13"/>
      <c r="C75" s="12" t="str">
        <f aca="false">IF(B75="","",IF(B75=IFERROR(INDEX(設定!$B$18:$F$18,MATCH(入力!$B$4,設定!$A$23:$A$27,0)),""),1,0))</f>
        <v/>
      </c>
    </row>
    <row r="76" customFormat="false" ht="15" hidden="false" customHeight="false" outlineLevel="0" collapsed="false">
      <c r="A76" s="12" t="n">
        <v>68</v>
      </c>
      <c r="B76" s="13"/>
      <c r="C76" s="12" t="str">
        <f aca="false">IF(B76="","",IF(B76=IFERROR(INDEX(設定!$B$18:$F$18,MATCH(入力!$B$4,設定!$A$23:$A$27,0)),""),1,0))</f>
        <v/>
      </c>
    </row>
    <row r="77" customFormat="false" ht="15" hidden="false" customHeight="false" outlineLevel="0" collapsed="false">
      <c r="A77" s="12" t="n">
        <v>69</v>
      </c>
      <c r="B77" s="13"/>
      <c r="C77" s="12" t="str">
        <f aca="false">IF(B77="","",IF(B77=IFERROR(INDEX(設定!$B$18:$F$18,MATCH(入力!$B$4,設定!$A$23:$A$27,0)),""),1,0))</f>
        <v/>
      </c>
    </row>
    <row r="78" customFormat="false" ht="15" hidden="false" customHeight="false" outlineLevel="0" collapsed="false">
      <c r="A78" s="12" t="n">
        <v>70</v>
      </c>
      <c r="B78" s="13"/>
      <c r="C78" s="12" t="str">
        <f aca="false">IF(B78="","",IF(B78=IFERROR(INDEX(設定!$B$18:$F$18,MATCH(入力!$B$4,設定!$A$23:$A$27,0)),""),1,0))</f>
        <v/>
      </c>
    </row>
    <row r="79" customFormat="false" ht="15" hidden="false" customHeight="false" outlineLevel="0" collapsed="false">
      <c r="A79" s="12" t="n">
        <v>71</v>
      </c>
      <c r="B79" s="13"/>
      <c r="C79" s="12" t="str">
        <f aca="false">IF(B79="","",IF(B79=IFERROR(INDEX(設定!$B$18:$F$18,MATCH(入力!$B$4,設定!$A$23:$A$27,0)),""),1,0))</f>
        <v/>
      </c>
    </row>
    <row r="80" customFormat="false" ht="15" hidden="false" customHeight="false" outlineLevel="0" collapsed="false">
      <c r="A80" s="12" t="n">
        <v>72</v>
      </c>
      <c r="B80" s="13"/>
      <c r="C80" s="12" t="str">
        <f aca="false">IF(B80="","",IF(B80=IFERROR(INDEX(設定!$B$18:$F$18,MATCH(入力!$B$4,設定!$A$23:$A$27,0)),""),1,0))</f>
        <v/>
      </c>
    </row>
    <row r="81" customFormat="false" ht="15" hidden="false" customHeight="false" outlineLevel="0" collapsed="false">
      <c r="A81" s="12" t="n">
        <v>73</v>
      </c>
      <c r="B81" s="13"/>
      <c r="C81" s="12" t="str">
        <f aca="false">IF(B81="","",IF(B81=IFERROR(INDEX(設定!$B$18:$F$18,MATCH(入力!$B$4,設定!$A$23:$A$27,0)),""),1,0))</f>
        <v/>
      </c>
    </row>
    <row r="82" customFormat="false" ht="15" hidden="false" customHeight="false" outlineLevel="0" collapsed="false">
      <c r="A82" s="12" t="n">
        <v>74</v>
      </c>
      <c r="B82" s="13"/>
      <c r="C82" s="12" t="str">
        <f aca="false">IF(B82="","",IF(B82=IFERROR(INDEX(設定!$B$18:$F$18,MATCH(入力!$B$4,設定!$A$23:$A$27,0)),""),1,0))</f>
        <v/>
      </c>
    </row>
    <row r="83" customFormat="false" ht="15" hidden="false" customHeight="false" outlineLevel="0" collapsed="false">
      <c r="A83" s="12" t="n">
        <v>75</v>
      </c>
      <c r="B83" s="13"/>
      <c r="C83" s="12" t="str">
        <f aca="false">IF(B83="","",IF(B83=IFERROR(INDEX(設定!$B$18:$F$18,MATCH(入力!$B$4,設定!$A$23:$A$27,0)),""),1,0))</f>
        <v/>
      </c>
    </row>
    <row r="84" customFormat="false" ht="15" hidden="false" customHeight="false" outlineLevel="0" collapsed="false">
      <c r="A84" s="12" t="n">
        <v>76</v>
      </c>
      <c r="B84" s="13"/>
      <c r="C84" s="12" t="str">
        <f aca="false">IF(B84="","",IF(B84=IFERROR(INDEX(設定!$B$18:$F$18,MATCH(入力!$B$4,設定!$A$23:$A$27,0)),""),1,0))</f>
        <v/>
      </c>
    </row>
    <row r="85" customFormat="false" ht="15" hidden="false" customHeight="false" outlineLevel="0" collapsed="false">
      <c r="A85" s="12" t="n">
        <v>77</v>
      </c>
      <c r="B85" s="13"/>
      <c r="C85" s="12" t="str">
        <f aca="false">IF(B85="","",IF(B85=IFERROR(INDEX(設定!$B$18:$F$18,MATCH(入力!$B$4,設定!$A$23:$A$27,0)),""),1,0))</f>
        <v/>
      </c>
    </row>
    <row r="86" customFormat="false" ht="15" hidden="false" customHeight="false" outlineLevel="0" collapsed="false">
      <c r="A86" s="12" t="n">
        <v>78</v>
      </c>
      <c r="B86" s="13"/>
      <c r="C86" s="12" t="str">
        <f aca="false">IF(B86="","",IF(B86=IFERROR(INDEX(設定!$B$18:$F$18,MATCH(入力!$B$4,設定!$A$23:$A$27,0)),""),1,0))</f>
        <v/>
      </c>
    </row>
    <row r="87" customFormat="false" ht="15" hidden="false" customHeight="false" outlineLevel="0" collapsed="false">
      <c r="A87" s="12" t="n">
        <v>79</v>
      </c>
      <c r="B87" s="13"/>
      <c r="C87" s="12" t="str">
        <f aca="false">IF(B87="","",IF(B87=IFERROR(INDEX(設定!$B$18:$F$18,MATCH(入力!$B$4,設定!$A$23:$A$27,0)),""),1,0))</f>
        <v/>
      </c>
    </row>
    <row r="88" customFormat="false" ht="15" hidden="false" customHeight="false" outlineLevel="0" collapsed="false">
      <c r="A88" s="12" t="n">
        <v>80</v>
      </c>
      <c r="B88" s="13"/>
      <c r="C88" s="12" t="str">
        <f aca="false">IF(B88="","",IF(B88=IFERROR(INDEX(設定!$B$18:$F$18,MATCH(入力!$B$4,設定!$A$23:$A$27,0)),""),1,0))</f>
        <v/>
      </c>
    </row>
    <row r="89" customFormat="false" ht="15" hidden="false" customHeight="false" outlineLevel="0" collapsed="false">
      <c r="A89" s="12" t="n">
        <v>81</v>
      </c>
      <c r="B89" s="13"/>
      <c r="C89" s="12" t="str">
        <f aca="false">IF(B89="","",IF(B89=IFERROR(INDEX(設定!$B$18:$F$18,MATCH(入力!$B$4,設定!$A$23:$A$27,0)),""),1,0))</f>
        <v/>
      </c>
    </row>
    <row r="90" customFormat="false" ht="15" hidden="false" customHeight="false" outlineLevel="0" collapsed="false">
      <c r="A90" s="12" t="n">
        <v>82</v>
      </c>
      <c r="B90" s="13"/>
      <c r="C90" s="12" t="str">
        <f aca="false">IF(B90="","",IF(B90=IFERROR(INDEX(設定!$B$18:$F$18,MATCH(入力!$B$4,設定!$A$23:$A$27,0)),""),1,0))</f>
        <v/>
      </c>
    </row>
    <row r="91" customFormat="false" ht="15" hidden="false" customHeight="false" outlineLevel="0" collapsed="false">
      <c r="A91" s="12" t="n">
        <v>83</v>
      </c>
      <c r="B91" s="13"/>
      <c r="C91" s="12" t="str">
        <f aca="false">IF(B91="","",IF(B91=IFERROR(INDEX(設定!$B$18:$F$18,MATCH(入力!$B$4,設定!$A$23:$A$27,0)),""),1,0))</f>
        <v/>
      </c>
    </row>
    <row r="92" customFormat="false" ht="15" hidden="false" customHeight="false" outlineLevel="0" collapsed="false">
      <c r="A92" s="12" t="n">
        <v>84</v>
      </c>
      <c r="B92" s="13"/>
      <c r="C92" s="12" t="str">
        <f aca="false">IF(B92="","",IF(B92=IFERROR(INDEX(設定!$B$18:$F$18,MATCH(入力!$B$4,設定!$A$23:$A$27,0)),""),1,0))</f>
        <v/>
      </c>
    </row>
    <row r="93" customFormat="false" ht="15" hidden="false" customHeight="false" outlineLevel="0" collapsed="false">
      <c r="A93" s="12" t="n">
        <v>85</v>
      </c>
      <c r="B93" s="13"/>
      <c r="C93" s="12" t="str">
        <f aca="false">IF(B93="","",IF(B93=IFERROR(INDEX(設定!$B$18:$F$18,MATCH(入力!$B$4,設定!$A$23:$A$27,0)),""),1,0))</f>
        <v/>
      </c>
    </row>
    <row r="94" customFormat="false" ht="15" hidden="false" customHeight="false" outlineLevel="0" collapsed="false">
      <c r="A94" s="12" t="n">
        <v>86</v>
      </c>
      <c r="B94" s="13"/>
      <c r="C94" s="12" t="str">
        <f aca="false">IF(B94="","",IF(B94=IFERROR(INDEX(設定!$B$18:$F$18,MATCH(入力!$B$4,設定!$A$23:$A$27,0)),""),1,0))</f>
        <v/>
      </c>
    </row>
    <row r="95" customFormat="false" ht="15" hidden="false" customHeight="false" outlineLevel="0" collapsed="false">
      <c r="A95" s="12" t="n">
        <v>87</v>
      </c>
      <c r="B95" s="13"/>
      <c r="C95" s="12" t="str">
        <f aca="false">IF(B95="","",IF(B95=IFERROR(INDEX(設定!$B$18:$F$18,MATCH(入力!$B$4,設定!$A$23:$A$27,0)),""),1,0))</f>
        <v/>
      </c>
    </row>
    <row r="96" customFormat="false" ht="15" hidden="false" customHeight="false" outlineLevel="0" collapsed="false">
      <c r="A96" s="12" t="n">
        <v>88</v>
      </c>
      <c r="B96" s="13"/>
      <c r="C96" s="12" t="str">
        <f aca="false">IF(B96="","",IF(B96=IFERROR(INDEX(設定!$B$18:$F$18,MATCH(入力!$B$4,設定!$A$23:$A$27,0)),""),1,0))</f>
        <v/>
      </c>
    </row>
    <row r="97" customFormat="false" ht="15" hidden="false" customHeight="false" outlineLevel="0" collapsed="false">
      <c r="A97" s="12" t="n">
        <v>89</v>
      </c>
      <c r="B97" s="13"/>
      <c r="C97" s="12" t="str">
        <f aca="false">IF(B97="","",IF(B97=IFERROR(INDEX(設定!$B$18:$F$18,MATCH(入力!$B$4,設定!$A$23:$A$27,0)),""),1,0))</f>
        <v/>
      </c>
    </row>
    <row r="98" customFormat="false" ht="15" hidden="false" customHeight="false" outlineLevel="0" collapsed="false">
      <c r="A98" s="12" t="n">
        <v>90</v>
      </c>
      <c r="B98" s="13"/>
      <c r="C98" s="12" t="str">
        <f aca="false">IF(B98="","",IF(B98=IFERROR(INDEX(設定!$B$18:$F$18,MATCH(入力!$B$4,設定!$A$23:$A$27,0)),""),1,0))</f>
        <v/>
      </c>
    </row>
    <row r="99" customFormat="false" ht="15" hidden="false" customHeight="false" outlineLevel="0" collapsed="false">
      <c r="A99" s="12" t="n">
        <v>91</v>
      </c>
      <c r="B99" s="13"/>
      <c r="C99" s="12" t="str">
        <f aca="false">IF(B99="","",IF(B99=IFERROR(INDEX(設定!$B$18:$F$18,MATCH(入力!$B$4,設定!$A$23:$A$27,0)),""),1,0))</f>
        <v/>
      </c>
    </row>
    <row r="100" customFormat="false" ht="15" hidden="false" customHeight="false" outlineLevel="0" collapsed="false">
      <c r="A100" s="12" t="n">
        <v>92</v>
      </c>
      <c r="B100" s="13"/>
      <c r="C100" s="12" t="str">
        <f aca="false">IF(B100="","",IF(B100=IFERROR(INDEX(設定!$B$18:$F$18,MATCH(入力!$B$4,設定!$A$23:$A$27,0)),""),1,0))</f>
        <v/>
      </c>
    </row>
    <row r="101" customFormat="false" ht="15" hidden="false" customHeight="false" outlineLevel="0" collapsed="false">
      <c r="A101" s="12" t="n">
        <v>93</v>
      </c>
      <c r="B101" s="13"/>
      <c r="C101" s="12" t="str">
        <f aca="false">IF(B101="","",IF(B101=IFERROR(INDEX(設定!$B$18:$F$18,MATCH(入力!$B$4,設定!$A$23:$A$27,0)),""),1,0))</f>
        <v/>
      </c>
    </row>
    <row r="102" customFormat="false" ht="15" hidden="false" customHeight="false" outlineLevel="0" collapsed="false">
      <c r="A102" s="12" t="n">
        <v>94</v>
      </c>
      <c r="B102" s="13"/>
      <c r="C102" s="12" t="str">
        <f aca="false">IF(B102="","",IF(B102=IFERROR(INDEX(設定!$B$18:$F$18,MATCH(入力!$B$4,設定!$A$23:$A$27,0)),""),1,0))</f>
        <v/>
      </c>
    </row>
    <row r="103" customFormat="false" ht="15" hidden="false" customHeight="false" outlineLevel="0" collapsed="false">
      <c r="A103" s="12" t="n">
        <v>95</v>
      </c>
      <c r="B103" s="13"/>
      <c r="C103" s="12" t="str">
        <f aca="false">IF(B103="","",IF(B103=IFERROR(INDEX(設定!$B$18:$F$18,MATCH(入力!$B$4,設定!$A$23:$A$27,0)),""),1,0))</f>
        <v/>
      </c>
    </row>
    <row r="104" customFormat="false" ht="15" hidden="false" customHeight="false" outlineLevel="0" collapsed="false">
      <c r="A104" s="12" t="n">
        <v>96</v>
      </c>
      <c r="B104" s="13"/>
      <c r="C104" s="12" t="str">
        <f aca="false">IF(B104="","",IF(B104=IFERROR(INDEX(設定!$B$18:$F$18,MATCH(入力!$B$4,設定!$A$23:$A$27,0)),""),1,0))</f>
        <v/>
      </c>
    </row>
    <row r="105" customFormat="false" ht="15" hidden="false" customHeight="false" outlineLevel="0" collapsed="false">
      <c r="A105" s="12" t="n">
        <v>97</v>
      </c>
      <c r="B105" s="13"/>
      <c r="C105" s="12" t="str">
        <f aca="false">IF(B105="","",IF(B105=IFERROR(INDEX(設定!$B$18:$F$18,MATCH(入力!$B$4,設定!$A$23:$A$27,0)),""),1,0))</f>
        <v/>
      </c>
    </row>
    <row r="106" customFormat="false" ht="15" hidden="false" customHeight="false" outlineLevel="0" collapsed="false">
      <c r="A106" s="12" t="n">
        <v>98</v>
      </c>
      <c r="B106" s="13"/>
      <c r="C106" s="12" t="str">
        <f aca="false">IF(B106="","",IF(B106=IFERROR(INDEX(設定!$B$18:$F$18,MATCH(入力!$B$4,設定!$A$23:$A$27,0)),""),1,0))</f>
        <v/>
      </c>
    </row>
    <row r="107" customFormat="false" ht="15" hidden="false" customHeight="false" outlineLevel="0" collapsed="false">
      <c r="A107" s="12" t="n">
        <v>99</v>
      </c>
      <c r="B107" s="13"/>
      <c r="C107" s="12" t="str">
        <f aca="false">IF(B107="","",IF(B107=IFERROR(INDEX(設定!$B$18:$F$18,MATCH(入力!$B$4,設定!$A$23:$A$27,0)),""),1,0))</f>
        <v/>
      </c>
    </row>
    <row r="108" customFormat="false" ht="15" hidden="false" customHeight="false" outlineLevel="0" collapsed="false">
      <c r="A108" s="12" t="n">
        <v>100</v>
      </c>
      <c r="B108" s="13"/>
      <c r="C108" s="12" t="str">
        <f aca="false">IF(B108="","",IF(B108=IFERROR(INDEX(設定!$B$18:$F$18,MATCH(入力!$B$4,設定!$A$23:$A$27,0)),""),1,0))</f>
        <v/>
      </c>
    </row>
    <row r="109" customFormat="false" ht="15" hidden="false" customHeight="false" outlineLevel="0" collapsed="false">
      <c r="A109" s="12" t="n">
        <v>101</v>
      </c>
      <c r="B109" s="13"/>
      <c r="C109" s="12" t="str">
        <f aca="false">IF(B109="","",IF(B109=IFERROR(INDEX(設定!$B$18:$F$18,MATCH(入力!$B$4,設定!$A$23:$A$27,0)),""),1,0))</f>
        <v/>
      </c>
    </row>
    <row r="110" customFormat="false" ht="15" hidden="false" customHeight="false" outlineLevel="0" collapsed="false">
      <c r="A110" s="12" t="n">
        <v>102</v>
      </c>
      <c r="B110" s="13"/>
      <c r="C110" s="12" t="str">
        <f aca="false">IF(B110="","",IF(B110=IFERROR(INDEX(設定!$B$18:$F$18,MATCH(入力!$B$4,設定!$A$23:$A$27,0)),""),1,0))</f>
        <v/>
      </c>
    </row>
    <row r="111" customFormat="false" ht="15" hidden="false" customHeight="false" outlineLevel="0" collapsed="false">
      <c r="A111" s="12" t="n">
        <v>103</v>
      </c>
      <c r="B111" s="13"/>
      <c r="C111" s="12" t="str">
        <f aca="false">IF(B111="","",IF(B111=IFERROR(INDEX(設定!$B$18:$F$18,MATCH(入力!$B$4,設定!$A$23:$A$27,0)),""),1,0))</f>
        <v/>
      </c>
    </row>
    <row r="112" customFormat="false" ht="15" hidden="false" customHeight="false" outlineLevel="0" collapsed="false">
      <c r="A112" s="12" t="n">
        <v>104</v>
      </c>
      <c r="B112" s="13"/>
      <c r="C112" s="12" t="str">
        <f aca="false">IF(B112="","",IF(B112=IFERROR(INDEX(設定!$B$18:$F$18,MATCH(入力!$B$4,設定!$A$23:$A$27,0)),""),1,0))</f>
        <v/>
      </c>
    </row>
    <row r="113" customFormat="false" ht="15" hidden="false" customHeight="false" outlineLevel="0" collapsed="false">
      <c r="A113" s="12" t="n">
        <v>105</v>
      </c>
      <c r="B113" s="13"/>
      <c r="C113" s="12" t="str">
        <f aca="false">IF(B113="","",IF(B113=IFERROR(INDEX(設定!$B$18:$F$18,MATCH(入力!$B$4,設定!$A$23:$A$27,0)),""),1,0))</f>
        <v/>
      </c>
    </row>
    <row r="114" customFormat="false" ht="15" hidden="false" customHeight="false" outlineLevel="0" collapsed="false">
      <c r="A114" s="12" t="n">
        <v>106</v>
      </c>
      <c r="B114" s="13"/>
      <c r="C114" s="12" t="str">
        <f aca="false">IF(B114="","",IF(B114=IFERROR(INDEX(設定!$B$18:$F$18,MATCH(入力!$B$4,設定!$A$23:$A$27,0)),""),1,0))</f>
        <v/>
      </c>
    </row>
    <row r="115" customFormat="false" ht="15" hidden="false" customHeight="false" outlineLevel="0" collapsed="false">
      <c r="A115" s="12" t="n">
        <v>107</v>
      </c>
      <c r="B115" s="13"/>
      <c r="C115" s="12" t="str">
        <f aca="false">IF(B115="","",IF(B115=IFERROR(INDEX(設定!$B$18:$F$18,MATCH(入力!$B$4,設定!$A$23:$A$27,0)),""),1,0))</f>
        <v/>
      </c>
    </row>
    <row r="116" customFormat="false" ht="15" hidden="false" customHeight="false" outlineLevel="0" collapsed="false">
      <c r="A116" s="12" t="n">
        <v>108</v>
      </c>
      <c r="B116" s="13"/>
      <c r="C116" s="12" t="str">
        <f aca="false">IF(B116="","",IF(B116=IFERROR(INDEX(設定!$B$18:$F$18,MATCH(入力!$B$4,設定!$A$23:$A$27,0)),""),1,0))</f>
        <v/>
      </c>
    </row>
    <row r="117" customFormat="false" ht="15" hidden="false" customHeight="false" outlineLevel="0" collapsed="false">
      <c r="A117" s="12" t="n">
        <v>109</v>
      </c>
      <c r="B117" s="13"/>
      <c r="C117" s="12" t="str">
        <f aca="false">IF(B117="","",IF(B117=IFERROR(INDEX(設定!$B$18:$F$18,MATCH(入力!$B$4,設定!$A$23:$A$27,0)),""),1,0))</f>
        <v/>
      </c>
    </row>
    <row r="118" customFormat="false" ht="15" hidden="false" customHeight="false" outlineLevel="0" collapsed="false">
      <c r="A118" s="12" t="n">
        <v>110</v>
      </c>
      <c r="B118" s="13"/>
      <c r="C118" s="12" t="str">
        <f aca="false">IF(B118="","",IF(B118=IFERROR(INDEX(設定!$B$18:$F$18,MATCH(入力!$B$4,設定!$A$23:$A$27,0)),""),1,0))</f>
        <v/>
      </c>
    </row>
    <row r="119" customFormat="false" ht="15" hidden="false" customHeight="false" outlineLevel="0" collapsed="false">
      <c r="A119" s="12" t="n">
        <v>111</v>
      </c>
      <c r="B119" s="13"/>
      <c r="C119" s="12" t="str">
        <f aca="false">IF(B119="","",IF(B119=IFERROR(INDEX(設定!$B$18:$F$18,MATCH(入力!$B$4,設定!$A$23:$A$27,0)),""),1,0))</f>
        <v/>
      </c>
    </row>
    <row r="120" customFormat="false" ht="15" hidden="false" customHeight="false" outlineLevel="0" collapsed="false">
      <c r="A120" s="12" t="n">
        <v>112</v>
      </c>
      <c r="B120" s="13"/>
      <c r="C120" s="12" t="str">
        <f aca="false">IF(B120="","",IF(B120=IFERROR(INDEX(設定!$B$18:$F$18,MATCH(入力!$B$4,設定!$A$23:$A$27,0)),""),1,0))</f>
        <v/>
      </c>
    </row>
    <row r="121" customFormat="false" ht="15" hidden="false" customHeight="false" outlineLevel="0" collapsed="false">
      <c r="A121" s="12" t="n">
        <v>113</v>
      </c>
      <c r="B121" s="13"/>
      <c r="C121" s="12" t="str">
        <f aca="false">IF(B121="","",IF(B121=IFERROR(INDEX(設定!$B$18:$F$18,MATCH(入力!$B$4,設定!$A$23:$A$27,0)),""),1,0))</f>
        <v/>
      </c>
    </row>
    <row r="122" customFormat="false" ht="15" hidden="false" customHeight="false" outlineLevel="0" collapsed="false">
      <c r="A122" s="12" t="n">
        <v>114</v>
      </c>
      <c r="B122" s="13"/>
      <c r="C122" s="12" t="str">
        <f aca="false">IF(B122="","",IF(B122=IFERROR(INDEX(設定!$B$18:$F$18,MATCH(入力!$B$4,設定!$A$23:$A$27,0)),""),1,0))</f>
        <v/>
      </c>
    </row>
    <row r="123" customFormat="false" ht="15" hidden="false" customHeight="false" outlineLevel="0" collapsed="false">
      <c r="A123" s="12" t="n">
        <v>115</v>
      </c>
      <c r="B123" s="13"/>
      <c r="C123" s="12" t="str">
        <f aca="false">IF(B123="","",IF(B123=IFERROR(INDEX(設定!$B$18:$F$18,MATCH(入力!$B$4,設定!$A$23:$A$27,0)),""),1,0))</f>
        <v/>
      </c>
    </row>
    <row r="124" customFormat="false" ht="15" hidden="false" customHeight="false" outlineLevel="0" collapsed="false">
      <c r="A124" s="12" t="n">
        <v>116</v>
      </c>
      <c r="B124" s="13"/>
      <c r="C124" s="12" t="str">
        <f aca="false">IF(B124="","",IF(B124=IFERROR(INDEX(設定!$B$18:$F$18,MATCH(入力!$B$4,設定!$A$23:$A$27,0)),""),1,0))</f>
        <v/>
      </c>
    </row>
    <row r="125" customFormat="false" ht="15" hidden="false" customHeight="false" outlineLevel="0" collapsed="false">
      <c r="A125" s="12" t="n">
        <v>117</v>
      </c>
      <c r="B125" s="13"/>
      <c r="C125" s="12" t="str">
        <f aca="false">IF(B125="","",IF(B125=IFERROR(INDEX(設定!$B$18:$F$18,MATCH(入力!$B$4,設定!$A$23:$A$27,0)),""),1,0))</f>
        <v/>
      </c>
    </row>
    <row r="126" customFormat="false" ht="15" hidden="false" customHeight="false" outlineLevel="0" collapsed="false">
      <c r="A126" s="12" t="n">
        <v>118</v>
      </c>
      <c r="B126" s="13"/>
      <c r="C126" s="12" t="str">
        <f aca="false">IF(B126="","",IF(B126=IFERROR(INDEX(設定!$B$18:$F$18,MATCH(入力!$B$4,設定!$A$23:$A$27,0)),""),1,0))</f>
        <v/>
      </c>
    </row>
    <row r="127" customFormat="false" ht="15" hidden="false" customHeight="false" outlineLevel="0" collapsed="false">
      <c r="A127" s="12" t="n">
        <v>119</v>
      </c>
      <c r="B127" s="13"/>
      <c r="C127" s="12" t="str">
        <f aca="false">IF(B127="","",IF(B127=IFERROR(INDEX(設定!$B$18:$F$18,MATCH(入力!$B$4,設定!$A$23:$A$27,0)),""),1,0))</f>
        <v/>
      </c>
    </row>
    <row r="128" customFormat="false" ht="15" hidden="false" customHeight="false" outlineLevel="0" collapsed="false">
      <c r="A128" s="12" t="n">
        <v>120</v>
      </c>
      <c r="B128" s="13"/>
      <c r="C128" s="12" t="str">
        <f aca="false">IF(B128="","",IF(B128=IFERROR(INDEX(設定!$B$18:$F$18,MATCH(入力!$B$4,設定!$A$23:$A$27,0)),""),1,0))</f>
        <v/>
      </c>
    </row>
    <row r="129" customFormat="false" ht="15" hidden="false" customHeight="false" outlineLevel="0" collapsed="false">
      <c r="A129" s="12" t="n">
        <v>121</v>
      </c>
      <c r="B129" s="13"/>
      <c r="C129" s="12" t="str">
        <f aca="false">IF(B129="","",IF(B129=IFERROR(INDEX(設定!$B$18:$F$18,MATCH(入力!$B$4,設定!$A$23:$A$27,0)),""),1,0))</f>
        <v/>
      </c>
    </row>
    <row r="130" customFormat="false" ht="15" hidden="false" customHeight="false" outlineLevel="0" collapsed="false">
      <c r="A130" s="12" t="n">
        <v>122</v>
      </c>
      <c r="B130" s="13"/>
      <c r="C130" s="12" t="str">
        <f aca="false">IF(B130="","",IF(B130=IFERROR(INDEX(設定!$B$18:$F$18,MATCH(入力!$B$4,設定!$A$23:$A$27,0)),""),1,0))</f>
        <v/>
      </c>
    </row>
    <row r="131" customFormat="false" ht="15" hidden="false" customHeight="false" outlineLevel="0" collapsed="false">
      <c r="A131" s="12" t="n">
        <v>123</v>
      </c>
      <c r="B131" s="13"/>
      <c r="C131" s="12" t="str">
        <f aca="false">IF(B131="","",IF(B131=IFERROR(INDEX(設定!$B$18:$F$18,MATCH(入力!$B$4,設定!$A$23:$A$27,0)),""),1,0))</f>
        <v/>
      </c>
    </row>
    <row r="132" customFormat="false" ht="15" hidden="false" customHeight="false" outlineLevel="0" collapsed="false">
      <c r="A132" s="12" t="n">
        <v>124</v>
      </c>
      <c r="B132" s="13"/>
      <c r="C132" s="12" t="str">
        <f aca="false">IF(B132="","",IF(B132=IFERROR(INDEX(設定!$B$18:$F$18,MATCH(入力!$B$4,設定!$A$23:$A$27,0)),""),1,0))</f>
        <v/>
      </c>
    </row>
    <row r="133" customFormat="false" ht="15" hidden="false" customHeight="false" outlineLevel="0" collapsed="false">
      <c r="A133" s="12" t="n">
        <v>125</v>
      </c>
      <c r="B133" s="13"/>
      <c r="C133" s="12" t="str">
        <f aca="false">IF(B133="","",IF(B133=IFERROR(INDEX(設定!$B$18:$F$18,MATCH(入力!$B$4,設定!$A$23:$A$27,0)),""),1,0))</f>
        <v/>
      </c>
    </row>
    <row r="134" customFormat="false" ht="15" hidden="false" customHeight="false" outlineLevel="0" collapsed="false">
      <c r="A134" s="12" t="n">
        <v>126</v>
      </c>
      <c r="B134" s="13"/>
      <c r="C134" s="12" t="str">
        <f aca="false">IF(B134="","",IF(B134=IFERROR(INDEX(設定!$B$18:$F$18,MATCH(入力!$B$4,設定!$A$23:$A$27,0)),""),1,0))</f>
        <v/>
      </c>
    </row>
    <row r="135" customFormat="false" ht="15" hidden="false" customHeight="false" outlineLevel="0" collapsed="false">
      <c r="A135" s="12" t="n">
        <v>127</v>
      </c>
      <c r="B135" s="13"/>
      <c r="C135" s="12" t="str">
        <f aca="false">IF(B135="","",IF(B135=IFERROR(INDEX(設定!$B$18:$F$18,MATCH(入力!$B$4,設定!$A$23:$A$27,0)),""),1,0))</f>
        <v/>
      </c>
    </row>
    <row r="136" customFormat="false" ht="15" hidden="false" customHeight="false" outlineLevel="0" collapsed="false">
      <c r="A136" s="12" t="n">
        <v>128</v>
      </c>
      <c r="B136" s="13"/>
      <c r="C136" s="12" t="str">
        <f aca="false">IF(B136="","",IF(B136=IFERROR(INDEX(設定!$B$18:$F$18,MATCH(入力!$B$4,設定!$A$23:$A$27,0)),""),1,0))</f>
        <v/>
      </c>
    </row>
    <row r="137" customFormat="false" ht="15" hidden="false" customHeight="false" outlineLevel="0" collapsed="false">
      <c r="A137" s="12" t="n">
        <v>129</v>
      </c>
      <c r="B137" s="13"/>
      <c r="C137" s="12" t="str">
        <f aca="false">IF(B137="","",IF(B137=IFERROR(INDEX(設定!$B$18:$F$18,MATCH(入力!$B$4,設定!$A$23:$A$27,0)),""),1,0))</f>
        <v/>
      </c>
    </row>
    <row r="138" customFormat="false" ht="15" hidden="false" customHeight="false" outlineLevel="0" collapsed="false">
      <c r="A138" s="12" t="n">
        <v>130</v>
      </c>
      <c r="B138" s="13"/>
      <c r="C138" s="12" t="str">
        <f aca="false">IF(B138="","",IF(B138=IFERROR(INDEX(設定!$B$18:$F$18,MATCH(入力!$B$4,設定!$A$23:$A$27,0)),""),1,0))</f>
        <v/>
      </c>
    </row>
    <row r="139" customFormat="false" ht="15" hidden="false" customHeight="false" outlineLevel="0" collapsed="false">
      <c r="A139" s="12" t="n">
        <v>131</v>
      </c>
      <c r="B139" s="13"/>
      <c r="C139" s="12" t="str">
        <f aca="false">IF(B139="","",IF(B139=IFERROR(INDEX(設定!$B$18:$F$18,MATCH(入力!$B$4,設定!$A$23:$A$27,0)),""),1,0))</f>
        <v/>
      </c>
    </row>
    <row r="140" customFormat="false" ht="15" hidden="false" customHeight="false" outlineLevel="0" collapsed="false">
      <c r="A140" s="12" t="n">
        <v>132</v>
      </c>
      <c r="B140" s="13"/>
      <c r="C140" s="12" t="str">
        <f aca="false">IF(B140="","",IF(B140=IFERROR(INDEX(設定!$B$18:$F$18,MATCH(入力!$B$4,設定!$A$23:$A$27,0)),""),1,0))</f>
        <v/>
      </c>
    </row>
    <row r="141" customFormat="false" ht="15" hidden="false" customHeight="false" outlineLevel="0" collapsed="false">
      <c r="A141" s="12" t="n">
        <v>133</v>
      </c>
      <c r="B141" s="13"/>
      <c r="C141" s="12" t="str">
        <f aca="false">IF(B141="","",IF(B141=IFERROR(INDEX(設定!$B$18:$F$18,MATCH(入力!$B$4,設定!$A$23:$A$27,0)),""),1,0))</f>
        <v/>
      </c>
    </row>
    <row r="142" customFormat="false" ht="15" hidden="false" customHeight="false" outlineLevel="0" collapsed="false">
      <c r="A142" s="12" t="n">
        <v>134</v>
      </c>
      <c r="B142" s="13"/>
      <c r="C142" s="12" t="str">
        <f aca="false">IF(B142="","",IF(B142=IFERROR(INDEX(設定!$B$18:$F$18,MATCH(入力!$B$4,設定!$A$23:$A$27,0)),""),1,0))</f>
        <v/>
      </c>
    </row>
    <row r="143" customFormat="false" ht="15" hidden="false" customHeight="false" outlineLevel="0" collapsed="false">
      <c r="A143" s="12" t="n">
        <v>135</v>
      </c>
      <c r="B143" s="13"/>
      <c r="C143" s="12" t="str">
        <f aca="false">IF(B143="","",IF(B143=IFERROR(INDEX(設定!$B$18:$F$18,MATCH(入力!$B$4,設定!$A$23:$A$27,0)),""),1,0))</f>
        <v/>
      </c>
    </row>
    <row r="144" customFormat="false" ht="15" hidden="false" customHeight="false" outlineLevel="0" collapsed="false">
      <c r="A144" s="12" t="n">
        <v>136</v>
      </c>
      <c r="B144" s="13"/>
      <c r="C144" s="12" t="str">
        <f aca="false">IF(B144="","",IF(B144=IFERROR(INDEX(設定!$B$18:$F$18,MATCH(入力!$B$4,設定!$A$23:$A$27,0)),""),1,0))</f>
        <v/>
      </c>
    </row>
    <row r="145" customFormat="false" ht="15" hidden="false" customHeight="false" outlineLevel="0" collapsed="false">
      <c r="A145" s="12" t="n">
        <v>137</v>
      </c>
      <c r="B145" s="13"/>
      <c r="C145" s="12" t="str">
        <f aca="false">IF(B145="","",IF(B145=IFERROR(INDEX(設定!$B$18:$F$18,MATCH(入力!$B$4,設定!$A$23:$A$27,0)),""),1,0))</f>
        <v/>
      </c>
    </row>
    <row r="146" customFormat="false" ht="15" hidden="false" customHeight="false" outlineLevel="0" collapsed="false">
      <c r="A146" s="12" t="n">
        <v>138</v>
      </c>
      <c r="B146" s="13"/>
      <c r="C146" s="12" t="str">
        <f aca="false">IF(B146="","",IF(B146=IFERROR(INDEX(設定!$B$18:$F$18,MATCH(入力!$B$4,設定!$A$23:$A$27,0)),""),1,0))</f>
        <v/>
      </c>
    </row>
    <row r="147" customFormat="false" ht="15" hidden="false" customHeight="false" outlineLevel="0" collapsed="false">
      <c r="A147" s="12" t="n">
        <v>139</v>
      </c>
      <c r="B147" s="13"/>
      <c r="C147" s="12" t="str">
        <f aca="false">IF(B147="","",IF(B147=IFERROR(INDEX(設定!$B$18:$F$18,MATCH(入力!$B$4,設定!$A$23:$A$27,0)),""),1,0))</f>
        <v/>
      </c>
    </row>
    <row r="148" customFormat="false" ht="15" hidden="false" customHeight="false" outlineLevel="0" collapsed="false">
      <c r="A148" s="12" t="n">
        <v>140</v>
      </c>
      <c r="B148" s="13"/>
      <c r="C148" s="12" t="str">
        <f aca="false">IF(B148="","",IF(B148=IFERROR(INDEX(設定!$B$18:$F$18,MATCH(入力!$B$4,設定!$A$23:$A$27,0)),""),1,0))</f>
        <v/>
      </c>
    </row>
    <row r="149" customFormat="false" ht="15" hidden="false" customHeight="false" outlineLevel="0" collapsed="false">
      <c r="A149" s="12" t="n">
        <v>141</v>
      </c>
      <c r="B149" s="13"/>
      <c r="C149" s="12" t="str">
        <f aca="false">IF(B149="","",IF(B149=IFERROR(INDEX(設定!$B$18:$F$18,MATCH(入力!$B$4,設定!$A$23:$A$27,0)),""),1,0))</f>
        <v/>
      </c>
    </row>
    <row r="150" customFormat="false" ht="15" hidden="false" customHeight="false" outlineLevel="0" collapsed="false">
      <c r="A150" s="12" t="n">
        <v>142</v>
      </c>
      <c r="B150" s="13"/>
      <c r="C150" s="12" t="str">
        <f aca="false">IF(B150="","",IF(B150=IFERROR(INDEX(設定!$B$18:$F$18,MATCH(入力!$B$4,設定!$A$23:$A$27,0)),""),1,0))</f>
        <v/>
      </c>
    </row>
    <row r="151" customFormat="false" ht="15" hidden="false" customHeight="false" outlineLevel="0" collapsed="false">
      <c r="A151" s="12" t="n">
        <v>143</v>
      </c>
      <c r="B151" s="13"/>
      <c r="C151" s="12" t="str">
        <f aca="false">IF(B151="","",IF(B151=IFERROR(INDEX(設定!$B$18:$F$18,MATCH(入力!$B$4,設定!$A$23:$A$27,0)),""),1,0))</f>
        <v/>
      </c>
    </row>
    <row r="152" customFormat="false" ht="15" hidden="false" customHeight="false" outlineLevel="0" collapsed="false">
      <c r="A152" s="12" t="n">
        <v>144</v>
      </c>
      <c r="B152" s="13"/>
      <c r="C152" s="12" t="str">
        <f aca="false">IF(B152="","",IF(B152=IFERROR(INDEX(設定!$B$18:$F$18,MATCH(入力!$B$4,設定!$A$23:$A$27,0)),""),1,0))</f>
        <v/>
      </c>
    </row>
    <row r="153" customFormat="false" ht="15" hidden="false" customHeight="false" outlineLevel="0" collapsed="false">
      <c r="A153" s="12" t="n">
        <v>145</v>
      </c>
      <c r="B153" s="13"/>
      <c r="C153" s="12" t="str">
        <f aca="false">IF(B153="","",IF(B153=IFERROR(INDEX(設定!$B$18:$F$18,MATCH(入力!$B$4,設定!$A$23:$A$27,0)),""),1,0))</f>
        <v/>
      </c>
    </row>
    <row r="154" customFormat="false" ht="15" hidden="false" customHeight="false" outlineLevel="0" collapsed="false">
      <c r="A154" s="12" t="n">
        <v>146</v>
      </c>
      <c r="B154" s="13"/>
      <c r="C154" s="12" t="str">
        <f aca="false">IF(B154="","",IF(B154=IFERROR(INDEX(設定!$B$18:$F$18,MATCH(入力!$B$4,設定!$A$23:$A$27,0)),""),1,0))</f>
        <v/>
      </c>
    </row>
    <row r="155" customFormat="false" ht="15" hidden="false" customHeight="false" outlineLevel="0" collapsed="false">
      <c r="A155" s="12" t="n">
        <v>147</v>
      </c>
      <c r="B155" s="13"/>
      <c r="C155" s="12" t="str">
        <f aca="false">IF(B155="","",IF(B155=IFERROR(INDEX(設定!$B$18:$F$18,MATCH(入力!$B$4,設定!$A$23:$A$27,0)),""),1,0))</f>
        <v/>
      </c>
    </row>
    <row r="156" customFormat="false" ht="15" hidden="false" customHeight="false" outlineLevel="0" collapsed="false">
      <c r="A156" s="12" t="n">
        <v>148</v>
      </c>
      <c r="B156" s="13"/>
      <c r="C156" s="12" t="str">
        <f aca="false">IF(B156="","",IF(B156=IFERROR(INDEX(設定!$B$18:$F$18,MATCH(入力!$B$4,設定!$A$23:$A$27,0)),""),1,0))</f>
        <v/>
      </c>
    </row>
    <row r="157" customFormat="false" ht="15" hidden="false" customHeight="false" outlineLevel="0" collapsed="false">
      <c r="A157" s="12" t="n">
        <v>149</v>
      </c>
      <c r="B157" s="13"/>
      <c r="C157" s="12" t="str">
        <f aca="false">IF(B157="","",IF(B157=IFERROR(INDEX(設定!$B$18:$F$18,MATCH(入力!$B$4,設定!$A$23:$A$27,0)),""),1,0))</f>
        <v/>
      </c>
    </row>
    <row r="158" customFormat="false" ht="15" hidden="false" customHeight="false" outlineLevel="0" collapsed="false">
      <c r="A158" s="12" t="n">
        <v>150</v>
      </c>
      <c r="B158" s="13"/>
      <c r="C158" s="12" t="str">
        <f aca="false">IF(B158="","",IF(B158=IFERROR(INDEX(設定!$B$18:$F$18,MATCH(入力!$B$4,設定!$A$23:$A$27,0)),""),1,0))</f>
        <v/>
      </c>
    </row>
    <row r="159" customFormat="false" ht="15" hidden="false" customHeight="false" outlineLevel="0" collapsed="false">
      <c r="A159" s="12" t="n">
        <v>151</v>
      </c>
      <c r="B159" s="13"/>
      <c r="C159" s="12" t="str">
        <f aca="false">IF(B159="","",IF(B159=IFERROR(INDEX(設定!$B$18:$F$18,MATCH(入力!$B$4,設定!$A$23:$A$27,0)),""),1,0))</f>
        <v/>
      </c>
    </row>
    <row r="160" customFormat="false" ht="15" hidden="false" customHeight="false" outlineLevel="0" collapsed="false">
      <c r="A160" s="12" t="n">
        <v>152</v>
      </c>
      <c r="B160" s="13"/>
      <c r="C160" s="12" t="str">
        <f aca="false">IF(B160="","",IF(B160=IFERROR(INDEX(設定!$B$18:$F$18,MATCH(入力!$B$4,設定!$A$23:$A$27,0)),""),1,0))</f>
        <v/>
      </c>
    </row>
    <row r="161" customFormat="false" ht="15" hidden="false" customHeight="false" outlineLevel="0" collapsed="false">
      <c r="A161" s="12" t="n">
        <v>153</v>
      </c>
      <c r="B161" s="13"/>
      <c r="C161" s="12" t="str">
        <f aca="false">IF(B161="","",IF(B161=IFERROR(INDEX(設定!$B$18:$F$18,MATCH(入力!$B$4,設定!$A$23:$A$27,0)),""),1,0))</f>
        <v/>
      </c>
    </row>
    <row r="162" customFormat="false" ht="15" hidden="false" customHeight="false" outlineLevel="0" collapsed="false">
      <c r="A162" s="12" t="n">
        <v>154</v>
      </c>
      <c r="B162" s="13"/>
      <c r="C162" s="12" t="str">
        <f aca="false">IF(B162="","",IF(B162=IFERROR(INDEX(設定!$B$18:$F$18,MATCH(入力!$B$4,設定!$A$23:$A$27,0)),""),1,0))</f>
        <v/>
      </c>
    </row>
    <row r="163" customFormat="false" ht="15" hidden="false" customHeight="false" outlineLevel="0" collapsed="false">
      <c r="A163" s="12" t="n">
        <v>155</v>
      </c>
      <c r="B163" s="13"/>
      <c r="C163" s="12" t="str">
        <f aca="false">IF(B163="","",IF(B163=IFERROR(INDEX(設定!$B$18:$F$18,MATCH(入力!$B$4,設定!$A$23:$A$27,0)),""),1,0))</f>
        <v/>
      </c>
    </row>
    <row r="164" customFormat="false" ht="15" hidden="false" customHeight="false" outlineLevel="0" collapsed="false">
      <c r="A164" s="12" t="n">
        <v>156</v>
      </c>
      <c r="B164" s="13"/>
      <c r="C164" s="12" t="str">
        <f aca="false">IF(B164="","",IF(B164=IFERROR(INDEX(設定!$B$18:$F$18,MATCH(入力!$B$4,設定!$A$23:$A$27,0)),""),1,0))</f>
        <v/>
      </c>
    </row>
    <row r="165" customFormat="false" ht="15" hidden="false" customHeight="false" outlineLevel="0" collapsed="false">
      <c r="A165" s="12" t="n">
        <v>157</v>
      </c>
      <c r="B165" s="13"/>
      <c r="C165" s="12" t="str">
        <f aca="false">IF(B165="","",IF(B165=IFERROR(INDEX(設定!$B$18:$F$18,MATCH(入力!$B$4,設定!$A$23:$A$27,0)),""),1,0))</f>
        <v/>
      </c>
    </row>
    <row r="166" customFormat="false" ht="15" hidden="false" customHeight="false" outlineLevel="0" collapsed="false">
      <c r="A166" s="12" t="n">
        <v>158</v>
      </c>
      <c r="B166" s="13"/>
      <c r="C166" s="12" t="str">
        <f aca="false">IF(B166="","",IF(B166=IFERROR(INDEX(設定!$B$18:$F$18,MATCH(入力!$B$4,設定!$A$23:$A$27,0)),""),1,0))</f>
        <v/>
      </c>
    </row>
    <row r="167" customFormat="false" ht="15" hidden="false" customHeight="false" outlineLevel="0" collapsed="false">
      <c r="A167" s="12" t="n">
        <v>159</v>
      </c>
      <c r="B167" s="13"/>
      <c r="C167" s="12" t="str">
        <f aca="false">IF(B167="","",IF(B167=IFERROR(INDEX(設定!$B$18:$F$18,MATCH(入力!$B$4,設定!$A$23:$A$27,0)),""),1,0))</f>
        <v/>
      </c>
    </row>
    <row r="168" customFormat="false" ht="15" hidden="false" customHeight="false" outlineLevel="0" collapsed="false">
      <c r="A168" s="12" t="n">
        <v>160</v>
      </c>
      <c r="B168" s="13"/>
      <c r="C168" s="12" t="str">
        <f aca="false">IF(B168="","",IF(B168=IFERROR(INDEX(設定!$B$18:$F$18,MATCH(入力!$B$4,設定!$A$23:$A$27,0)),""),1,0))</f>
        <v/>
      </c>
    </row>
    <row r="169" customFormat="false" ht="15" hidden="false" customHeight="false" outlineLevel="0" collapsed="false">
      <c r="A169" s="12" t="n">
        <v>161</v>
      </c>
      <c r="B169" s="13"/>
      <c r="C169" s="12" t="str">
        <f aca="false">IF(B169="","",IF(B169=IFERROR(INDEX(設定!$B$18:$F$18,MATCH(入力!$B$4,設定!$A$23:$A$27,0)),""),1,0))</f>
        <v/>
      </c>
    </row>
    <row r="170" customFormat="false" ht="15" hidden="false" customHeight="false" outlineLevel="0" collapsed="false">
      <c r="A170" s="12" t="n">
        <v>162</v>
      </c>
      <c r="B170" s="13"/>
      <c r="C170" s="12" t="str">
        <f aca="false">IF(B170="","",IF(B170=IFERROR(INDEX(設定!$B$18:$F$18,MATCH(入力!$B$4,設定!$A$23:$A$27,0)),""),1,0))</f>
        <v/>
      </c>
    </row>
    <row r="171" customFormat="false" ht="15" hidden="false" customHeight="false" outlineLevel="0" collapsed="false">
      <c r="A171" s="12" t="n">
        <v>163</v>
      </c>
      <c r="B171" s="13"/>
      <c r="C171" s="12" t="str">
        <f aca="false">IF(B171="","",IF(B171=IFERROR(INDEX(設定!$B$18:$F$18,MATCH(入力!$B$4,設定!$A$23:$A$27,0)),""),1,0))</f>
        <v/>
      </c>
    </row>
    <row r="172" customFormat="false" ht="15" hidden="false" customHeight="false" outlineLevel="0" collapsed="false">
      <c r="A172" s="12" t="n">
        <v>164</v>
      </c>
      <c r="B172" s="13"/>
      <c r="C172" s="12" t="str">
        <f aca="false">IF(B172="","",IF(B172=IFERROR(INDEX(設定!$B$18:$F$18,MATCH(入力!$B$4,設定!$A$23:$A$27,0)),""),1,0))</f>
        <v/>
      </c>
    </row>
    <row r="173" customFormat="false" ht="15" hidden="false" customHeight="false" outlineLevel="0" collapsed="false">
      <c r="A173" s="12" t="n">
        <v>165</v>
      </c>
      <c r="B173" s="13"/>
      <c r="C173" s="12" t="str">
        <f aca="false">IF(B173="","",IF(B173=IFERROR(INDEX(設定!$B$18:$F$18,MATCH(入力!$B$4,設定!$A$23:$A$27,0)),""),1,0))</f>
        <v/>
      </c>
    </row>
    <row r="174" customFormat="false" ht="15" hidden="false" customHeight="false" outlineLevel="0" collapsed="false">
      <c r="A174" s="12" t="n">
        <v>166</v>
      </c>
      <c r="B174" s="13"/>
      <c r="C174" s="12" t="str">
        <f aca="false">IF(B174="","",IF(B174=IFERROR(INDEX(設定!$B$18:$F$18,MATCH(入力!$B$4,設定!$A$23:$A$27,0)),""),1,0))</f>
        <v/>
      </c>
    </row>
    <row r="175" customFormat="false" ht="15" hidden="false" customHeight="false" outlineLevel="0" collapsed="false">
      <c r="A175" s="12" t="n">
        <v>167</v>
      </c>
      <c r="B175" s="13"/>
      <c r="C175" s="12" t="str">
        <f aca="false">IF(B175="","",IF(B175=IFERROR(INDEX(設定!$B$18:$F$18,MATCH(入力!$B$4,設定!$A$23:$A$27,0)),""),1,0))</f>
        <v/>
      </c>
    </row>
    <row r="176" customFormat="false" ht="15" hidden="false" customHeight="false" outlineLevel="0" collapsed="false">
      <c r="A176" s="12" t="n">
        <v>168</v>
      </c>
      <c r="B176" s="13"/>
      <c r="C176" s="12" t="str">
        <f aca="false">IF(B176="","",IF(B176=IFERROR(INDEX(設定!$B$18:$F$18,MATCH(入力!$B$4,設定!$A$23:$A$27,0)),""),1,0))</f>
        <v/>
      </c>
    </row>
    <row r="177" customFormat="false" ht="15" hidden="false" customHeight="false" outlineLevel="0" collapsed="false">
      <c r="A177" s="12" t="n">
        <v>169</v>
      </c>
      <c r="B177" s="13"/>
      <c r="C177" s="12" t="str">
        <f aca="false">IF(B177="","",IF(B177=IFERROR(INDEX(設定!$B$18:$F$18,MATCH(入力!$B$4,設定!$A$23:$A$27,0)),""),1,0))</f>
        <v/>
      </c>
    </row>
    <row r="178" customFormat="false" ht="15" hidden="false" customHeight="false" outlineLevel="0" collapsed="false">
      <c r="A178" s="12" t="n">
        <v>170</v>
      </c>
      <c r="B178" s="13"/>
      <c r="C178" s="12" t="str">
        <f aca="false">IF(B178="","",IF(B178=IFERROR(INDEX(設定!$B$18:$F$18,MATCH(入力!$B$4,設定!$A$23:$A$27,0)),""),1,0))</f>
        <v/>
      </c>
    </row>
    <row r="179" customFormat="false" ht="15" hidden="false" customHeight="false" outlineLevel="0" collapsed="false">
      <c r="A179" s="12" t="n">
        <v>171</v>
      </c>
      <c r="B179" s="13"/>
      <c r="C179" s="12" t="str">
        <f aca="false">IF(B179="","",IF(B179=IFERROR(INDEX(設定!$B$18:$F$18,MATCH(入力!$B$4,設定!$A$23:$A$27,0)),""),1,0))</f>
        <v/>
      </c>
    </row>
    <row r="180" customFormat="false" ht="15" hidden="false" customHeight="false" outlineLevel="0" collapsed="false">
      <c r="A180" s="12" t="n">
        <v>172</v>
      </c>
      <c r="B180" s="13"/>
      <c r="C180" s="12" t="str">
        <f aca="false">IF(B180="","",IF(B180=IFERROR(INDEX(設定!$B$18:$F$18,MATCH(入力!$B$4,設定!$A$23:$A$27,0)),""),1,0))</f>
        <v/>
      </c>
    </row>
    <row r="181" customFormat="false" ht="15" hidden="false" customHeight="false" outlineLevel="0" collapsed="false">
      <c r="A181" s="12" t="n">
        <v>173</v>
      </c>
      <c r="B181" s="13"/>
      <c r="C181" s="12" t="str">
        <f aca="false">IF(B181="","",IF(B181=IFERROR(INDEX(設定!$B$18:$F$18,MATCH(入力!$B$4,設定!$A$23:$A$27,0)),""),1,0))</f>
        <v/>
      </c>
    </row>
    <row r="182" customFormat="false" ht="15" hidden="false" customHeight="false" outlineLevel="0" collapsed="false">
      <c r="A182" s="12" t="n">
        <v>174</v>
      </c>
      <c r="B182" s="13"/>
      <c r="C182" s="12" t="str">
        <f aca="false">IF(B182="","",IF(B182=IFERROR(INDEX(設定!$B$18:$F$18,MATCH(入力!$B$4,設定!$A$23:$A$27,0)),""),1,0))</f>
        <v/>
      </c>
    </row>
    <row r="183" customFormat="false" ht="15" hidden="false" customHeight="false" outlineLevel="0" collapsed="false">
      <c r="A183" s="12" t="n">
        <v>175</v>
      </c>
      <c r="B183" s="13"/>
      <c r="C183" s="12" t="str">
        <f aca="false">IF(B183="","",IF(B183=IFERROR(INDEX(設定!$B$18:$F$18,MATCH(入力!$B$4,設定!$A$23:$A$27,0)),""),1,0))</f>
        <v/>
      </c>
    </row>
    <row r="184" customFormat="false" ht="15" hidden="false" customHeight="false" outlineLevel="0" collapsed="false">
      <c r="A184" s="12" t="n">
        <v>176</v>
      </c>
      <c r="B184" s="13"/>
      <c r="C184" s="12" t="str">
        <f aca="false">IF(B184="","",IF(B184=IFERROR(INDEX(設定!$B$18:$F$18,MATCH(入力!$B$4,設定!$A$23:$A$27,0)),""),1,0))</f>
        <v/>
      </c>
    </row>
    <row r="185" customFormat="false" ht="15" hidden="false" customHeight="false" outlineLevel="0" collapsed="false">
      <c r="A185" s="12" t="n">
        <v>177</v>
      </c>
      <c r="B185" s="13"/>
      <c r="C185" s="12" t="str">
        <f aca="false">IF(B185="","",IF(B185=IFERROR(INDEX(設定!$B$18:$F$18,MATCH(入力!$B$4,設定!$A$23:$A$27,0)),""),1,0))</f>
        <v/>
      </c>
    </row>
    <row r="186" customFormat="false" ht="15" hidden="false" customHeight="false" outlineLevel="0" collapsed="false">
      <c r="A186" s="12" t="n">
        <v>178</v>
      </c>
      <c r="B186" s="13"/>
      <c r="C186" s="12" t="str">
        <f aca="false">IF(B186="","",IF(B186=IFERROR(INDEX(設定!$B$18:$F$18,MATCH(入力!$B$4,設定!$A$23:$A$27,0)),""),1,0))</f>
        <v/>
      </c>
    </row>
    <row r="187" customFormat="false" ht="15" hidden="false" customHeight="false" outlineLevel="0" collapsed="false">
      <c r="A187" s="12" t="n">
        <v>179</v>
      </c>
      <c r="B187" s="13"/>
      <c r="C187" s="12" t="str">
        <f aca="false">IF(B187="","",IF(B187=IFERROR(INDEX(設定!$B$18:$F$18,MATCH(入力!$B$4,設定!$A$23:$A$27,0)),""),1,0))</f>
        <v/>
      </c>
    </row>
    <row r="188" customFormat="false" ht="15" hidden="false" customHeight="false" outlineLevel="0" collapsed="false">
      <c r="A188" s="12" t="n">
        <v>180</v>
      </c>
      <c r="B188" s="13"/>
      <c r="C188" s="12" t="str">
        <f aca="false">IF(B188="","",IF(B188=IFERROR(INDEX(設定!$B$18:$F$18,MATCH(入力!$B$4,設定!$A$23:$A$27,0)),""),1,0))</f>
        <v/>
      </c>
    </row>
    <row r="189" customFormat="false" ht="15" hidden="false" customHeight="false" outlineLevel="0" collapsed="false">
      <c r="A189" s="12" t="n">
        <v>181</v>
      </c>
      <c r="B189" s="13"/>
      <c r="C189" s="12" t="str">
        <f aca="false">IF(B189="","",IF(B189=IFERROR(INDEX(設定!$B$18:$F$18,MATCH(入力!$B$4,設定!$A$23:$A$27,0)),""),1,0))</f>
        <v/>
      </c>
    </row>
    <row r="190" customFormat="false" ht="15" hidden="false" customHeight="false" outlineLevel="0" collapsed="false">
      <c r="A190" s="12" t="n">
        <v>182</v>
      </c>
      <c r="B190" s="13"/>
      <c r="C190" s="12" t="str">
        <f aca="false">IF(B190="","",IF(B190=IFERROR(INDEX(設定!$B$18:$F$18,MATCH(入力!$B$4,設定!$A$23:$A$27,0)),""),1,0))</f>
        <v/>
      </c>
    </row>
    <row r="191" customFormat="false" ht="15" hidden="false" customHeight="false" outlineLevel="0" collapsed="false">
      <c r="A191" s="12" t="n">
        <v>183</v>
      </c>
      <c r="B191" s="13"/>
      <c r="C191" s="12" t="str">
        <f aca="false">IF(B191="","",IF(B191=IFERROR(INDEX(設定!$B$18:$F$18,MATCH(入力!$B$4,設定!$A$23:$A$27,0)),""),1,0))</f>
        <v/>
      </c>
    </row>
    <row r="192" customFormat="false" ht="15" hidden="false" customHeight="false" outlineLevel="0" collapsed="false">
      <c r="A192" s="12" t="n">
        <v>184</v>
      </c>
      <c r="B192" s="13"/>
      <c r="C192" s="12" t="str">
        <f aca="false">IF(B192="","",IF(B192=IFERROR(INDEX(設定!$B$18:$F$18,MATCH(入力!$B$4,設定!$A$23:$A$27,0)),""),1,0))</f>
        <v/>
      </c>
    </row>
    <row r="193" customFormat="false" ht="15" hidden="false" customHeight="false" outlineLevel="0" collapsed="false">
      <c r="A193" s="12" t="n">
        <v>185</v>
      </c>
      <c r="B193" s="13"/>
      <c r="C193" s="12" t="str">
        <f aca="false">IF(B193="","",IF(B193=IFERROR(INDEX(設定!$B$18:$F$18,MATCH(入力!$B$4,設定!$A$23:$A$27,0)),""),1,0))</f>
        <v/>
      </c>
    </row>
    <row r="194" customFormat="false" ht="15" hidden="false" customHeight="false" outlineLevel="0" collapsed="false">
      <c r="A194" s="12" t="n">
        <v>186</v>
      </c>
      <c r="B194" s="13"/>
      <c r="C194" s="12" t="str">
        <f aca="false">IF(B194="","",IF(B194=IFERROR(INDEX(設定!$B$18:$F$18,MATCH(入力!$B$4,設定!$A$23:$A$27,0)),""),1,0))</f>
        <v/>
      </c>
    </row>
    <row r="195" customFormat="false" ht="15" hidden="false" customHeight="false" outlineLevel="0" collapsed="false">
      <c r="A195" s="12" t="n">
        <v>187</v>
      </c>
      <c r="B195" s="13"/>
      <c r="C195" s="12" t="str">
        <f aca="false">IF(B195="","",IF(B195=IFERROR(INDEX(設定!$B$18:$F$18,MATCH(入力!$B$4,設定!$A$23:$A$27,0)),""),1,0))</f>
        <v/>
      </c>
    </row>
    <row r="196" customFormat="false" ht="15" hidden="false" customHeight="false" outlineLevel="0" collapsed="false">
      <c r="A196" s="12" t="n">
        <v>188</v>
      </c>
      <c r="B196" s="13"/>
      <c r="C196" s="12" t="str">
        <f aca="false">IF(B196="","",IF(B196=IFERROR(INDEX(設定!$B$18:$F$18,MATCH(入力!$B$4,設定!$A$23:$A$27,0)),""),1,0))</f>
        <v/>
      </c>
    </row>
    <row r="197" customFormat="false" ht="15" hidden="false" customHeight="false" outlineLevel="0" collapsed="false">
      <c r="A197" s="12" t="n">
        <v>189</v>
      </c>
      <c r="B197" s="13"/>
      <c r="C197" s="12" t="str">
        <f aca="false">IF(B197="","",IF(B197=IFERROR(INDEX(設定!$B$18:$F$18,MATCH(入力!$B$4,設定!$A$23:$A$27,0)),""),1,0))</f>
        <v/>
      </c>
    </row>
    <row r="198" customFormat="false" ht="15" hidden="false" customHeight="false" outlineLevel="0" collapsed="false">
      <c r="A198" s="12" t="n">
        <v>190</v>
      </c>
      <c r="B198" s="13"/>
      <c r="C198" s="12" t="str">
        <f aca="false">IF(B198="","",IF(B198=IFERROR(INDEX(設定!$B$18:$F$18,MATCH(入力!$B$4,設定!$A$23:$A$27,0)),""),1,0))</f>
        <v/>
      </c>
    </row>
    <row r="199" customFormat="false" ht="15" hidden="false" customHeight="false" outlineLevel="0" collapsed="false">
      <c r="A199" s="12" t="n">
        <v>191</v>
      </c>
      <c r="B199" s="13"/>
      <c r="C199" s="12" t="str">
        <f aca="false">IF(B199="","",IF(B199=IFERROR(INDEX(設定!$B$18:$F$18,MATCH(入力!$B$4,設定!$A$23:$A$27,0)),""),1,0))</f>
        <v/>
      </c>
    </row>
    <row r="200" customFormat="false" ht="15" hidden="false" customHeight="false" outlineLevel="0" collapsed="false">
      <c r="A200" s="12" t="n">
        <v>192</v>
      </c>
      <c r="B200" s="13"/>
      <c r="C200" s="12" t="str">
        <f aca="false">IF(B200="","",IF(B200=IFERROR(INDEX(設定!$B$18:$F$18,MATCH(入力!$B$4,設定!$A$23:$A$27,0)),""),1,0))</f>
        <v/>
      </c>
    </row>
    <row r="201" customFormat="false" ht="15" hidden="false" customHeight="false" outlineLevel="0" collapsed="false">
      <c r="A201" s="12" t="n">
        <v>193</v>
      </c>
      <c r="B201" s="13"/>
      <c r="C201" s="12" t="str">
        <f aca="false">IF(B201="","",IF(B201=IFERROR(INDEX(設定!$B$18:$F$18,MATCH(入力!$B$4,設定!$A$23:$A$27,0)),""),1,0))</f>
        <v/>
      </c>
    </row>
    <row r="202" customFormat="false" ht="15" hidden="false" customHeight="false" outlineLevel="0" collapsed="false">
      <c r="A202" s="12" t="n">
        <v>194</v>
      </c>
      <c r="B202" s="13"/>
      <c r="C202" s="12" t="str">
        <f aca="false">IF(B202="","",IF(B202=IFERROR(INDEX(設定!$B$18:$F$18,MATCH(入力!$B$4,設定!$A$23:$A$27,0)),""),1,0))</f>
        <v/>
      </c>
    </row>
    <row r="203" customFormat="false" ht="15" hidden="false" customHeight="false" outlineLevel="0" collapsed="false">
      <c r="A203" s="12" t="n">
        <v>195</v>
      </c>
      <c r="B203" s="13"/>
      <c r="C203" s="12" t="str">
        <f aca="false">IF(B203="","",IF(B203=IFERROR(INDEX(設定!$B$18:$F$18,MATCH(入力!$B$4,設定!$A$23:$A$27,0)),""),1,0))</f>
        <v/>
      </c>
    </row>
    <row r="204" customFormat="false" ht="15" hidden="false" customHeight="false" outlineLevel="0" collapsed="false">
      <c r="A204" s="12" t="n">
        <v>196</v>
      </c>
      <c r="B204" s="13"/>
      <c r="C204" s="12" t="str">
        <f aca="false">IF(B204="","",IF(B204=IFERROR(INDEX(設定!$B$18:$F$18,MATCH(入力!$B$4,設定!$A$23:$A$27,0)),""),1,0))</f>
        <v/>
      </c>
    </row>
    <row r="205" customFormat="false" ht="15" hidden="false" customHeight="false" outlineLevel="0" collapsed="false">
      <c r="A205" s="12" t="n">
        <v>197</v>
      </c>
      <c r="B205" s="13"/>
      <c r="C205" s="12" t="str">
        <f aca="false">IF(B205="","",IF(B205=IFERROR(INDEX(設定!$B$18:$F$18,MATCH(入力!$B$4,設定!$A$23:$A$27,0)),""),1,0))</f>
        <v/>
      </c>
    </row>
    <row r="206" customFormat="false" ht="15" hidden="false" customHeight="false" outlineLevel="0" collapsed="false">
      <c r="A206" s="12" t="n">
        <v>198</v>
      </c>
      <c r="B206" s="13"/>
      <c r="C206" s="12" t="str">
        <f aca="false">IF(B206="","",IF(B206=IFERROR(INDEX(設定!$B$18:$F$18,MATCH(入力!$B$4,設定!$A$23:$A$27,0)),""),1,0))</f>
        <v/>
      </c>
    </row>
    <row r="207" customFormat="false" ht="15" hidden="false" customHeight="false" outlineLevel="0" collapsed="false">
      <c r="A207" s="12" t="n">
        <v>199</v>
      </c>
      <c r="B207" s="13"/>
      <c r="C207" s="12" t="str">
        <f aca="false">IF(B207="","",IF(B207=IFERROR(INDEX(設定!$B$18:$F$18,MATCH(入力!$B$4,設定!$A$23:$A$27,0)),""),1,0))</f>
        <v/>
      </c>
    </row>
    <row r="208" customFormat="false" ht="15" hidden="false" customHeight="false" outlineLevel="0" collapsed="false">
      <c r="A208" s="12" t="n">
        <v>200</v>
      </c>
      <c r="B208" s="13"/>
      <c r="C208" s="12" t="str">
        <f aca="false">IF(B208="","",IF(B208=IFERROR(INDEX(設定!$B$18:$F$18,MATCH(入力!$B$4,設定!$A$23:$A$27,0)),""),1,0))</f>
        <v/>
      </c>
    </row>
    <row r="209" customFormat="false" ht="15" hidden="false" customHeight="false" outlineLevel="0" collapsed="false">
      <c r="A209" s="12" t="n">
        <v>201</v>
      </c>
      <c r="B209" s="13"/>
      <c r="C209" s="12" t="str">
        <f aca="false">IF(B209="","",IF(B209=IFERROR(INDEX(設定!$B$18:$F$18,MATCH(入力!$B$4,設定!$A$23:$A$27,0)),""),1,0))</f>
        <v/>
      </c>
    </row>
    <row r="210" customFormat="false" ht="15" hidden="false" customHeight="false" outlineLevel="0" collapsed="false">
      <c r="A210" s="12" t="n">
        <v>202</v>
      </c>
      <c r="B210" s="13"/>
      <c r="C210" s="12" t="str">
        <f aca="false">IF(B210="","",IF(B210=IFERROR(INDEX(設定!$B$18:$F$18,MATCH(入力!$B$4,設定!$A$23:$A$27,0)),""),1,0))</f>
        <v/>
      </c>
    </row>
    <row r="211" customFormat="false" ht="15" hidden="false" customHeight="false" outlineLevel="0" collapsed="false">
      <c r="A211" s="12" t="n">
        <v>203</v>
      </c>
      <c r="B211" s="13"/>
      <c r="C211" s="12" t="str">
        <f aca="false">IF(B211="","",IF(B211=IFERROR(INDEX(設定!$B$18:$F$18,MATCH(入力!$B$4,設定!$A$23:$A$27,0)),""),1,0))</f>
        <v/>
      </c>
    </row>
    <row r="212" customFormat="false" ht="15" hidden="false" customHeight="false" outlineLevel="0" collapsed="false">
      <c r="A212" s="12" t="n">
        <v>204</v>
      </c>
      <c r="B212" s="13"/>
      <c r="C212" s="12" t="str">
        <f aca="false">IF(B212="","",IF(B212=IFERROR(INDEX(設定!$B$18:$F$18,MATCH(入力!$B$4,設定!$A$23:$A$27,0)),""),1,0))</f>
        <v/>
      </c>
    </row>
    <row r="213" customFormat="false" ht="15" hidden="false" customHeight="false" outlineLevel="0" collapsed="false">
      <c r="A213" s="12" t="n">
        <v>205</v>
      </c>
      <c r="B213" s="13"/>
      <c r="C213" s="12" t="str">
        <f aca="false">IF(B213="","",IF(B213=IFERROR(INDEX(設定!$B$18:$F$18,MATCH(入力!$B$4,設定!$A$23:$A$27,0)),""),1,0))</f>
        <v/>
      </c>
    </row>
    <row r="214" customFormat="false" ht="15" hidden="false" customHeight="false" outlineLevel="0" collapsed="false">
      <c r="A214" s="12" t="n">
        <v>206</v>
      </c>
      <c r="B214" s="13"/>
      <c r="C214" s="12" t="str">
        <f aca="false">IF(B214="","",IF(B214=IFERROR(INDEX(設定!$B$18:$F$18,MATCH(入力!$B$4,設定!$A$23:$A$27,0)),""),1,0))</f>
        <v/>
      </c>
    </row>
    <row r="215" customFormat="false" ht="15" hidden="false" customHeight="false" outlineLevel="0" collapsed="false">
      <c r="A215" s="12" t="n">
        <v>207</v>
      </c>
      <c r="B215" s="13"/>
      <c r="C215" s="12" t="str">
        <f aca="false">IF(B215="","",IF(B215=IFERROR(INDEX(設定!$B$18:$F$18,MATCH(入力!$B$4,設定!$A$23:$A$27,0)),""),1,0))</f>
        <v/>
      </c>
    </row>
    <row r="216" customFormat="false" ht="15" hidden="false" customHeight="false" outlineLevel="0" collapsed="false">
      <c r="A216" s="12" t="n">
        <v>208</v>
      </c>
      <c r="B216" s="13"/>
      <c r="C216" s="12" t="str">
        <f aca="false">IF(B216="","",IF(B216=IFERROR(INDEX(設定!$B$18:$F$18,MATCH(入力!$B$4,設定!$A$23:$A$27,0)),""),1,0))</f>
        <v/>
      </c>
    </row>
    <row r="217" customFormat="false" ht="15" hidden="false" customHeight="false" outlineLevel="0" collapsed="false">
      <c r="A217" s="12" t="n">
        <v>209</v>
      </c>
      <c r="B217" s="13"/>
      <c r="C217" s="12" t="str">
        <f aca="false">IF(B217="","",IF(B217=IFERROR(INDEX(設定!$B$18:$F$18,MATCH(入力!$B$4,設定!$A$23:$A$27,0)),""),1,0))</f>
        <v/>
      </c>
    </row>
    <row r="218" customFormat="false" ht="15" hidden="false" customHeight="false" outlineLevel="0" collapsed="false">
      <c r="A218" s="12" t="n">
        <v>210</v>
      </c>
      <c r="B218" s="13"/>
      <c r="C218" s="12" t="str">
        <f aca="false">IF(B218="","",IF(B218=IFERROR(INDEX(設定!$B$18:$F$18,MATCH(入力!$B$4,設定!$A$23:$A$27,0)),""),1,0))</f>
        <v/>
      </c>
    </row>
    <row r="219" customFormat="false" ht="15" hidden="false" customHeight="false" outlineLevel="0" collapsed="false">
      <c r="A219" s="12" t="n">
        <v>211</v>
      </c>
      <c r="B219" s="13"/>
      <c r="C219" s="12" t="str">
        <f aca="false">IF(B219="","",IF(B219=IFERROR(INDEX(設定!$B$18:$F$18,MATCH(入力!$B$4,設定!$A$23:$A$27,0)),""),1,0))</f>
        <v/>
      </c>
    </row>
    <row r="220" customFormat="false" ht="15" hidden="false" customHeight="false" outlineLevel="0" collapsed="false">
      <c r="A220" s="12" t="n">
        <v>212</v>
      </c>
      <c r="B220" s="13"/>
      <c r="C220" s="12" t="str">
        <f aca="false">IF(B220="","",IF(B220=IFERROR(INDEX(設定!$B$18:$F$18,MATCH(入力!$B$4,設定!$A$23:$A$27,0)),""),1,0))</f>
        <v/>
      </c>
    </row>
    <row r="221" customFormat="false" ht="15" hidden="false" customHeight="false" outlineLevel="0" collapsed="false">
      <c r="A221" s="12" t="n">
        <v>213</v>
      </c>
      <c r="B221" s="13"/>
      <c r="C221" s="12" t="str">
        <f aca="false">IF(B221="","",IF(B221=IFERROR(INDEX(設定!$B$18:$F$18,MATCH(入力!$B$4,設定!$A$23:$A$27,0)),""),1,0))</f>
        <v/>
      </c>
    </row>
    <row r="222" customFormat="false" ht="15" hidden="false" customHeight="false" outlineLevel="0" collapsed="false">
      <c r="A222" s="12" t="n">
        <v>214</v>
      </c>
      <c r="B222" s="13"/>
      <c r="C222" s="12" t="str">
        <f aca="false">IF(B222="","",IF(B222=IFERROR(INDEX(設定!$B$18:$F$18,MATCH(入力!$B$4,設定!$A$23:$A$27,0)),""),1,0))</f>
        <v/>
      </c>
    </row>
    <row r="223" customFormat="false" ht="15" hidden="false" customHeight="false" outlineLevel="0" collapsed="false">
      <c r="A223" s="12" t="n">
        <v>215</v>
      </c>
      <c r="B223" s="13"/>
      <c r="C223" s="12" t="str">
        <f aca="false">IF(B223="","",IF(B223=IFERROR(INDEX(設定!$B$18:$F$18,MATCH(入力!$B$4,設定!$A$23:$A$27,0)),""),1,0))</f>
        <v/>
      </c>
    </row>
    <row r="224" customFormat="false" ht="15" hidden="false" customHeight="false" outlineLevel="0" collapsed="false">
      <c r="A224" s="12" t="n">
        <v>216</v>
      </c>
      <c r="B224" s="13"/>
      <c r="C224" s="12" t="str">
        <f aca="false">IF(B224="","",IF(B224=IFERROR(INDEX(設定!$B$18:$F$18,MATCH(入力!$B$4,設定!$A$23:$A$27,0)),""),1,0))</f>
        <v/>
      </c>
    </row>
    <row r="225" customFormat="false" ht="15" hidden="false" customHeight="false" outlineLevel="0" collapsed="false">
      <c r="A225" s="12" t="n">
        <v>217</v>
      </c>
      <c r="B225" s="13"/>
      <c r="C225" s="12" t="str">
        <f aca="false">IF(B225="","",IF(B225=IFERROR(INDEX(設定!$B$18:$F$18,MATCH(入力!$B$4,設定!$A$23:$A$27,0)),""),1,0))</f>
        <v/>
      </c>
    </row>
    <row r="226" customFormat="false" ht="15" hidden="false" customHeight="false" outlineLevel="0" collapsed="false">
      <c r="A226" s="12" t="n">
        <v>218</v>
      </c>
      <c r="B226" s="13"/>
      <c r="C226" s="12" t="str">
        <f aca="false">IF(B226="","",IF(B226=IFERROR(INDEX(設定!$B$18:$F$18,MATCH(入力!$B$4,設定!$A$23:$A$27,0)),""),1,0))</f>
        <v/>
      </c>
    </row>
    <row r="227" customFormat="false" ht="15" hidden="false" customHeight="false" outlineLevel="0" collapsed="false">
      <c r="A227" s="12" t="n">
        <v>219</v>
      </c>
      <c r="B227" s="13"/>
      <c r="C227" s="12" t="str">
        <f aca="false">IF(B227="","",IF(B227=IFERROR(INDEX(設定!$B$18:$F$18,MATCH(入力!$B$4,設定!$A$23:$A$27,0)),""),1,0))</f>
        <v/>
      </c>
    </row>
    <row r="228" customFormat="false" ht="15" hidden="false" customHeight="false" outlineLevel="0" collapsed="false">
      <c r="A228" s="12" t="n">
        <v>220</v>
      </c>
      <c r="B228" s="13"/>
      <c r="C228" s="12" t="str">
        <f aca="false">IF(B228="","",IF(B228=IFERROR(INDEX(設定!$B$18:$F$18,MATCH(入力!$B$4,設定!$A$23:$A$27,0)),""),1,0))</f>
        <v/>
      </c>
    </row>
    <row r="229" customFormat="false" ht="15" hidden="false" customHeight="false" outlineLevel="0" collapsed="false">
      <c r="A229" s="12" t="n">
        <v>221</v>
      </c>
      <c r="B229" s="13"/>
      <c r="C229" s="12" t="str">
        <f aca="false">IF(B229="","",IF(B229=IFERROR(INDEX(設定!$B$18:$F$18,MATCH(入力!$B$4,設定!$A$23:$A$27,0)),""),1,0))</f>
        <v/>
      </c>
    </row>
    <row r="230" customFormat="false" ht="15" hidden="false" customHeight="false" outlineLevel="0" collapsed="false">
      <c r="A230" s="12" t="n">
        <v>222</v>
      </c>
      <c r="B230" s="13"/>
      <c r="C230" s="12" t="str">
        <f aca="false">IF(B230="","",IF(B230=IFERROR(INDEX(設定!$B$18:$F$18,MATCH(入力!$B$4,設定!$A$23:$A$27,0)),""),1,0))</f>
        <v/>
      </c>
    </row>
    <row r="231" customFormat="false" ht="15" hidden="false" customHeight="false" outlineLevel="0" collapsed="false">
      <c r="A231" s="12" t="n">
        <v>223</v>
      </c>
      <c r="B231" s="13"/>
      <c r="C231" s="12" t="str">
        <f aca="false">IF(B231="","",IF(B231=IFERROR(INDEX(設定!$B$18:$F$18,MATCH(入力!$B$4,設定!$A$23:$A$27,0)),""),1,0))</f>
        <v/>
      </c>
    </row>
    <row r="232" customFormat="false" ht="15" hidden="false" customHeight="false" outlineLevel="0" collapsed="false">
      <c r="A232" s="12" t="n">
        <v>224</v>
      </c>
      <c r="B232" s="13"/>
      <c r="C232" s="12" t="str">
        <f aca="false">IF(B232="","",IF(B232=IFERROR(INDEX(設定!$B$18:$F$18,MATCH(入力!$B$4,設定!$A$23:$A$27,0)),""),1,0))</f>
        <v/>
      </c>
    </row>
    <row r="233" customFormat="false" ht="15" hidden="false" customHeight="false" outlineLevel="0" collapsed="false">
      <c r="A233" s="12" t="n">
        <v>225</v>
      </c>
      <c r="B233" s="13"/>
      <c r="C233" s="12" t="str">
        <f aca="false">IF(B233="","",IF(B233=IFERROR(INDEX(設定!$B$18:$F$18,MATCH(入力!$B$4,設定!$A$23:$A$27,0)),""),1,0))</f>
        <v/>
      </c>
    </row>
    <row r="234" customFormat="false" ht="15" hidden="false" customHeight="false" outlineLevel="0" collapsed="false">
      <c r="A234" s="12" t="n">
        <v>226</v>
      </c>
      <c r="B234" s="13"/>
      <c r="C234" s="12" t="str">
        <f aca="false">IF(B234="","",IF(B234=IFERROR(INDEX(設定!$B$18:$F$18,MATCH(入力!$B$4,設定!$A$23:$A$27,0)),""),1,0))</f>
        <v/>
      </c>
    </row>
    <row r="235" customFormat="false" ht="15" hidden="false" customHeight="false" outlineLevel="0" collapsed="false">
      <c r="A235" s="12" t="n">
        <v>227</v>
      </c>
      <c r="B235" s="13"/>
      <c r="C235" s="12" t="str">
        <f aca="false">IF(B235="","",IF(B235=IFERROR(INDEX(設定!$B$18:$F$18,MATCH(入力!$B$4,設定!$A$23:$A$27,0)),""),1,0))</f>
        <v/>
      </c>
    </row>
    <row r="236" customFormat="false" ht="15" hidden="false" customHeight="false" outlineLevel="0" collapsed="false">
      <c r="A236" s="12" t="n">
        <v>228</v>
      </c>
      <c r="B236" s="13"/>
      <c r="C236" s="12" t="str">
        <f aca="false">IF(B236="","",IF(B236=IFERROR(INDEX(設定!$B$18:$F$18,MATCH(入力!$B$4,設定!$A$23:$A$27,0)),""),1,0))</f>
        <v/>
      </c>
    </row>
    <row r="237" customFormat="false" ht="15" hidden="false" customHeight="false" outlineLevel="0" collapsed="false">
      <c r="A237" s="12" t="n">
        <v>229</v>
      </c>
      <c r="B237" s="13"/>
      <c r="C237" s="12" t="str">
        <f aca="false">IF(B237="","",IF(B237=IFERROR(INDEX(設定!$B$18:$F$18,MATCH(入力!$B$4,設定!$A$23:$A$27,0)),""),1,0))</f>
        <v/>
      </c>
    </row>
    <row r="238" customFormat="false" ht="15" hidden="false" customHeight="false" outlineLevel="0" collapsed="false">
      <c r="A238" s="12" t="n">
        <v>230</v>
      </c>
      <c r="B238" s="13"/>
      <c r="C238" s="12" t="str">
        <f aca="false">IF(B238="","",IF(B238=IFERROR(INDEX(設定!$B$18:$F$18,MATCH(入力!$B$4,設定!$A$23:$A$27,0)),""),1,0))</f>
        <v/>
      </c>
    </row>
    <row r="239" customFormat="false" ht="15" hidden="false" customHeight="false" outlineLevel="0" collapsed="false">
      <c r="A239" s="12" t="n">
        <v>231</v>
      </c>
      <c r="B239" s="13"/>
      <c r="C239" s="12" t="str">
        <f aca="false">IF(B239="","",IF(B239=IFERROR(INDEX(設定!$B$18:$F$18,MATCH(入力!$B$4,設定!$A$23:$A$27,0)),""),1,0))</f>
        <v/>
      </c>
    </row>
    <row r="240" customFormat="false" ht="15" hidden="false" customHeight="false" outlineLevel="0" collapsed="false">
      <c r="A240" s="12" t="n">
        <v>232</v>
      </c>
      <c r="B240" s="13"/>
      <c r="C240" s="12" t="str">
        <f aca="false">IF(B240="","",IF(B240=IFERROR(INDEX(設定!$B$18:$F$18,MATCH(入力!$B$4,設定!$A$23:$A$27,0)),""),1,0))</f>
        <v/>
      </c>
    </row>
    <row r="241" customFormat="false" ht="15" hidden="false" customHeight="false" outlineLevel="0" collapsed="false">
      <c r="A241" s="12" t="n">
        <v>233</v>
      </c>
      <c r="B241" s="13"/>
      <c r="C241" s="12" t="str">
        <f aca="false">IF(B241="","",IF(B241=IFERROR(INDEX(設定!$B$18:$F$18,MATCH(入力!$B$4,設定!$A$23:$A$27,0)),""),1,0))</f>
        <v/>
      </c>
    </row>
    <row r="242" customFormat="false" ht="15" hidden="false" customHeight="false" outlineLevel="0" collapsed="false">
      <c r="A242" s="12" t="n">
        <v>234</v>
      </c>
      <c r="B242" s="13"/>
      <c r="C242" s="12" t="str">
        <f aca="false">IF(B242="","",IF(B242=IFERROR(INDEX(設定!$B$18:$F$18,MATCH(入力!$B$4,設定!$A$23:$A$27,0)),""),1,0))</f>
        <v/>
      </c>
    </row>
    <row r="243" customFormat="false" ht="15" hidden="false" customHeight="false" outlineLevel="0" collapsed="false">
      <c r="A243" s="12" t="n">
        <v>235</v>
      </c>
      <c r="B243" s="13"/>
      <c r="C243" s="12" t="str">
        <f aca="false">IF(B243="","",IF(B243=IFERROR(INDEX(設定!$B$18:$F$18,MATCH(入力!$B$4,設定!$A$23:$A$27,0)),""),1,0))</f>
        <v/>
      </c>
    </row>
    <row r="244" customFormat="false" ht="15" hidden="false" customHeight="false" outlineLevel="0" collapsed="false">
      <c r="A244" s="12" t="n">
        <v>236</v>
      </c>
      <c r="B244" s="13"/>
      <c r="C244" s="12" t="str">
        <f aca="false">IF(B244="","",IF(B244=IFERROR(INDEX(設定!$B$18:$F$18,MATCH(入力!$B$4,設定!$A$23:$A$27,0)),""),1,0))</f>
        <v/>
      </c>
    </row>
    <row r="245" customFormat="false" ht="15" hidden="false" customHeight="false" outlineLevel="0" collapsed="false">
      <c r="A245" s="12" t="n">
        <v>237</v>
      </c>
      <c r="B245" s="13"/>
      <c r="C245" s="12" t="str">
        <f aca="false">IF(B245="","",IF(B245=IFERROR(INDEX(設定!$B$18:$F$18,MATCH(入力!$B$4,設定!$A$23:$A$27,0)),""),1,0))</f>
        <v/>
      </c>
    </row>
    <row r="246" customFormat="false" ht="15" hidden="false" customHeight="false" outlineLevel="0" collapsed="false">
      <c r="A246" s="12" t="n">
        <v>238</v>
      </c>
      <c r="B246" s="13"/>
      <c r="C246" s="12" t="str">
        <f aca="false">IF(B246="","",IF(B246=IFERROR(INDEX(設定!$B$18:$F$18,MATCH(入力!$B$4,設定!$A$23:$A$27,0)),""),1,0))</f>
        <v/>
      </c>
    </row>
    <row r="247" customFormat="false" ht="15" hidden="false" customHeight="false" outlineLevel="0" collapsed="false">
      <c r="A247" s="12" t="n">
        <v>239</v>
      </c>
      <c r="B247" s="13"/>
      <c r="C247" s="12" t="str">
        <f aca="false">IF(B247="","",IF(B247=IFERROR(INDEX(設定!$B$18:$F$18,MATCH(入力!$B$4,設定!$A$23:$A$27,0)),""),1,0))</f>
        <v/>
      </c>
    </row>
    <row r="248" customFormat="false" ht="15" hidden="false" customHeight="false" outlineLevel="0" collapsed="false">
      <c r="A248" s="12" t="n">
        <v>240</v>
      </c>
      <c r="B248" s="13"/>
      <c r="C248" s="12" t="str">
        <f aca="false">IF(B248="","",IF(B248=IFERROR(INDEX(設定!$B$18:$F$18,MATCH(入力!$B$4,設定!$A$23:$A$27,0)),""),1,0))</f>
        <v/>
      </c>
    </row>
    <row r="249" customFormat="false" ht="15" hidden="false" customHeight="false" outlineLevel="0" collapsed="false">
      <c r="A249" s="12" t="n">
        <v>241</v>
      </c>
      <c r="B249" s="13"/>
      <c r="C249" s="12" t="str">
        <f aca="false">IF(B249="","",IF(B249=IFERROR(INDEX(設定!$B$18:$F$18,MATCH(入力!$B$4,設定!$A$23:$A$27,0)),""),1,0))</f>
        <v/>
      </c>
    </row>
    <row r="250" customFormat="false" ht="15" hidden="false" customHeight="false" outlineLevel="0" collapsed="false">
      <c r="A250" s="12" t="n">
        <v>242</v>
      </c>
      <c r="B250" s="13"/>
      <c r="C250" s="12" t="str">
        <f aca="false">IF(B250="","",IF(B250=IFERROR(INDEX(設定!$B$18:$F$18,MATCH(入力!$B$4,設定!$A$23:$A$27,0)),""),1,0))</f>
        <v/>
      </c>
    </row>
    <row r="251" customFormat="false" ht="15" hidden="false" customHeight="false" outlineLevel="0" collapsed="false">
      <c r="A251" s="12" t="n">
        <v>243</v>
      </c>
      <c r="B251" s="13"/>
      <c r="C251" s="12" t="str">
        <f aca="false">IF(B251="","",IF(B251=IFERROR(INDEX(設定!$B$18:$F$18,MATCH(入力!$B$4,設定!$A$23:$A$27,0)),""),1,0))</f>
        <v/>
      </c>
    </row>
    <row r="252" customFormat="false" ht="15" hidden="false" customHeight="false" outlineLevel="0" collapsed="false">
      <c r="A252" s="12" t="n">
        <v>244</v>
      </c>
      <c r="B252" s="13"/>
      <c r="C252" s="12" t="str">
        <f aca="false">IF(B252="","",IF(B252=IFERROR(INDEX(設定!$B$18:$F$18,MATCH(入力!$B$4,設定!$A$23:$A$27,0)),""),1,0))</f>
        <v/>
      </c>
    </row>
    <row r="253" customFormat="false" ht="15" hidden="false" customHeight="false" outlineLevel="0" collapsed="false">
      <c r="A253" s="12" t="n">
        <v>245</v>
      </c>
      <c r="B253" s="13"/>
      <c r="C253" s="12" t="str">
        <f aca="false">IF(B253="","",IF(B253=IFERROR(INDEX(設定!$B$18:$F$18,MATCH(入力!$B$4,設定!$A$23:$A$27,0)),""),1,0))</f>
        <v/>
      </c>
    </row>
    <row r="254" customFormat="false" ht="15" hidden="false" customHeight="false" outlineLevel="0" collapsed="false">
      <c r="A254" s="12" t="n">
        <v>246</v>
      </c>
      <c r="B254" s="13"/>
      <c r="C254" s="12" t="str">
        <f aca="false">IF(B254="","",IF(B254=IFERROR(INDEX(設定!$B$18:$F$18,MATCH(入力!$B$4,設定!$A$23:$A$27,0)),""),1,0))</f>
        <v/>
      </c>
    </row>
    <row r="255" customFormat="false" ht="15" hidden="false" customHeight="false" outlineLevel="0" collapsed="false">
      <c r="A255" s="12" t="n">
        <v>247</v>
      </c>
      <c r="B255" s="13"/>
      <c r="C255" s="12" t="str">
        <f aca="false">IF(B255="","",IF(B255=IFERROR(INDEX(設定!$B$18:$F$18,MATCH(入力!$B$4,設定!$A$23:$A$27,0)),""),1,0))</f>
        <v/>
      </c>
    </row>
    <row r="256" customFormat="false" ht="15" hidden="false" customHeight="false" outlineLevel="0" collapsed="false">
      <c r="A256" s="12" t="n">
        <v>248</v>
      </c>
      <c r="B256" s="13"/>
      <c r="C256" s="12" t="str">
        <f aca="false">IF(B256="","",IF(B256=IFERROR(INDEX(設定!$B$18:$F$18,MATCH(入力!$B$4,設定!$A$23:$A$27,0)),""),1,0))</f>
        <v/>
      </c>
    </row>
    <row r="257" customFormat="false" ht="15" hidden="false" customHeight="false" outlineLevel="0" collapsed="false">
      <c r="A257" s="12" t="n">
        <v>249</v>
      </c>
      <c r="B257" s="13"/>
      <c r="C257" s="12" t="str">
        <f aca="false">IF(B257="","",IF(B257=IFERROR(INDEX(設定!$B$18:$F$18,MATCH(入力!$B$4,設定!$A$23:$A$27,0)),""),1,0))</f>
        <v/>
      </c>
    </row>
    <row r="258" customFormat="false" ht="15" hidden="false" customHeight="false" outlineLevel="0" collapsed="false">
      <c r="A258" s="12" t="n">
        <v>250</v>
      </c>
      <c r="B258" s="13"/>
      <c r="C258" s="12" t="str">
        <f aca="false">IF(B258="","",IF(B258=IFERROR(INDEX(設定!$B$18:$F$18,MATCH(入力!$B$4,設定!$A$23:$A$27,0)),""),1,0))</f>
        <v/>
      </c>
    </row>
    <row r="259" customFormat="false" ht="15" hidden="false" customHeight="false" outlineLevel="0" collapsed="false">
      <c r="A259" s="12" t="n">
        <v>251</v>
      </c>
      <c r="B259" s="13"/>
      <c r="C259" s="12" t="str">
        <f aca="false">IF(B259="","",IF(B259=IFERROR(INDEX(設定!$B$18:$F$18,MATCH(入力!$B$4,設定!$A$23:$A$27,0)),""),1,0))</f>
        <v/>
      </c>
    </row>
    <row r="260" customFormat="false" ht="15" hidden="false" customHeight="false" outlineLevel="0" collapsed="false">
      <c r="A260" s="12" t="n">
        <v>252</v>
      </c>
      <c r="B260" s="13"/>
      <c r="C260" s="12" t="str">
        <f aca="false">IF(B260="","",IF(B260=IFERROR(INDEX(設定!$B$18:$F$18,MATCH(入力!$B$4,設定!$A$23:$A$27,0)),""),1,0))</f>
        <v/>
      </c>
    </row>
    <row r="261" customFormat="false" ht="15" hidden="false" customHeight="false" outlineLevel="0" collapsed="false">
      <c r="A261" s="12" t="n">
        <v>253</v>
      </c>
      <c r="B261" s="13"/>
      <c r="C261" s="12" t="str">
        <f aca="false">IF(B261="","",IF(B261=IFERROR(INDEX(設定!$B$18:$F$18,MATCH(入力!$B$4,設定!$A$23:$A$27,0)),""),1,0))</f>
        <v/>
      </c>
    </row>
    <row r="262" customFormat="false" ht="15" hidden="false" customHeight="false" outlineLevel="0" collapsed="false">
      <c r="A262" s="12" t="n">
        <v>254</v>
      </c>
      <c r="B262" s="13"/>
      <c r="C262" s="12" t="str">
        <f aca="false">IF(B262="","",IF(B262=IFERROR(INDEX(設定!$B$18:$F$18,MATCH(入力!$B$4,設定!$A$23:$A$27,0)),""),1,0))</f>
        <v/>
      </c>
    </row>
    <row r="263" customFormat="false" ht="15" hidden="false" customHeight="false" outlineLevel="0" collapsed="false">
      <c r="A263" s="12" t="n">
        <v>255</v>
      </c>
      <c r="B263" s="13"/>
      <c r="C263" s="12" t="str">
        <f aca="false">IF(B263="","",IF(B263=IFERROR(INDEX(設定!$B$18:$F$18,MATCH(入力!$B$4,設定!$A$23:$A$27,0)),""),1,0))</f>
        <v/>
      </c>
    </row>
    <row r="264" customFormat="false" ht="15" hidden="false" customHeight="false" outlineLevel="0" collapsed="false">
      <c r="A264" s="12" t="n">
        <v>256</v>
      </c>
      <c r="B264" s="13"/>
      <c r="C264" s="12" t="str">
        <f aca="false">IF(B264="","",IF(B264=IFERROR(INDEX(設定!$B$18:$F$18,MATCH(入力!$B$4,設定!$A$23:$A$27,0)),""),1,0))</f>
        <v/>
      </c>
    </row>
    <row r="265" customFormat="false" ht="15" hidden="false" customHeight="false" outlineLevel="0" collapsed="false">
      <c r="A265" s="12" t="n">
        <v>257</v>
      </c>
      <c r="B265" s="13"/>
      <c r="C265" s="12" t="str">
        <f aca="false">IF(B265="","",IF(B265=IFERROR(INDEX(設定!$B$18:$F$18,MATCH(入力!$B$4,設定!$A$23:$A$27,0)),""),1,0))</f>
        <v/>
      </c>
    </row>
    <row r="266" customFormat="false" ht="15" hidden="false" customHeight="false" outlineLevel="0" collapsed="false">
      <c r="A266" s="12" t="n">
        <v>258</v>
      </c>
      <c r="B266" s="13"/>
      <c r="C266" s="12" t="str">
        <f aca="false">IF(B266="","",IF(B266=IFERROR(INDEX(設定!$B$18:$F$18,MATCH(入力!$B$4,設定!$A$23:$A$27,0)),""),1,0))</f>
        <v/>
      </c>
    </row>
    <row r="267" customFormat="false" ht="15" hidden="false" customHeight="false" outlineLevel="0" collapsed="false">
      <c r="A267" s="12" t="n">
        <v>259</v>
      </c>
      <c r="B267" s="13"/>
      <c r="C267" s="12" t="str">
        <f aca="false">IF(B267="","",IF(B267=IFERROR(INDEX(設定!$B$18:$F$18,MATCH(入力!$B$4,設定!$A$23:$A$27,0)),""),1,0))</f>
        <v/>
      </c>
    </row>
    <row r="268" customFormat="false" ht="15" hidden="false" customHeight="false" outlineLevel="0" collapsed="false">
      <c r="A268" s="12" t="n">
        <v>260</v>
      </c>
      <c r="B268" s="13"/>
      <c r="C268" s="12" t="str">
        <f aca="false">IF(B268="","",IF(B268=IFERROR(INDEX(設定!$B$18:$F$18,MATCH(入力!$B$4,設定!$A$23:$A$27,0)),""),1,0))</f>
        <v/>
      </c>
    </row>
    <row r="269" customFormat="false" ht="15" hidden="false" customHeight="false" outlineLevel="0" collapsed="false">
      <c r="A269" s="12" t="n">
        <v>261</v>
      </c>
      <c r="B269" s="13"/>
      <c r="C269" s="12" t="str">
        <f aca="false">IF(B269="","",IF(B269=IFERROR(INDEX(設定!$B$18:$F$18,MATCH(入力!$B$4,設定!$A$23:$A$27,0)),""),1,0))</f>
        <v/>
      </c>
    </row>
    <row r="270" customFormat="false" ht="15" hidden="false" customHeight="false" outlineLevel="0" collapsed="false">
      <c r="A270" s="12" t="n">
        <v>262</v>
      </c>
      <c r="B270" s="13"/>
      <c r="C270" s="12" t="str">
        <f aca="false">IF(B270="","",IF(B270=IFERROR(INDEX(設定!$B$18:$F$18,MATCH(入力!$B$4,設定!$A$23:$A$27,0)),""),1,0))</f>
        <v/>
      </c>
    </row>
    <row r="271" customFormat="false" ht="15" hidden="false" customHeight="false" outlineLevel="0" collapsed="false">
      <c r="A271" s="12" t="n">
        <v>263</v>
      </c>
      <c r="B271" s="13"/>
      <c r="C271" s="12" t="str">
        <f aca="false">IF(B271="","",IF(B271=IFERROR(INDEX(設定!$B$18:$F$18,MATCH(入力!$B$4,設定!$A$23:$A$27,0)),""),1,0))</f>
        <v/>
      </c>
    </row>
    <row r="272" customFormat="false" ht="15" hidden="false" customHeight="false" outlineLevel="0" collapsed="false">
      <c r="A272" s="12" t="n">
        <v>264</v>
      </c>
      <c r="B272" s="13"/>
      <c r="C272" s="12" t="str">
        <f aca="false">IF(B272="","",IF(B272=IFERROR(INDEX(設定!$B$18:$F$18,MATCH(入力!$B$4,設定!$A$23:$A$27,0)),""),1,0))</f>
        <v/>
      </c>
    </row>
    <row r="273" customFormat="false" ht="15" hidden="false" customHeight="false" outlineLevel="0" collapsed="false">
      <c r="A273" s="12" t="n">
        <v>265</v>
      </c>
      <c r="B273" s="13"/>
      <c r="C273" s="12" t="str">
        <f aca="false">IF(B273="","",IF(B273=IFERROR(INDEX(設定!$B$18:$F$18,MATCH(入力!$B$4,設定!$A$23:$A$27,0)),""),1,0))</f>
        <v/>
      </c>
    </row>
    <row r="274" customFormat="false" ht="15" hidden="false" customHeight="false" outlineLevel="0" collapsed="false">
      <c r="A274" s="12" t="n">
        <v>266</v>
      </c>
      <c r="B274" s="13"/>
      <c r="C274" s="12" t="str">
        <f aca="false">IF(B274="","",IF(B274=IFERROR(INDEX(設定!$B$18:$F$18,MATCH(入力!$B$4,設定!$A$23:$A$27,0)),""),1,0))</f>
        <v/>
      </c>
    </row>
    <row r="275" customFormat="false" ht="15" hidden="false" customHeight="false" outlineLevel="0" collapsed="false">
      <c r="A275" s="12" t="n">
        <v>267</v>
      </c>
      <c r="B275" s="13"/>
      <c r="C275" s="12" t="str">
        <f aca="false">IF(B275="","",IF(B275=IFERROR(INDEX(設定!$B$18:$F$18,MATCH(入力!$B$4,設定!$A$23:$A$27,0)),""),1,0))</f>
        <v/>
      </c>
    </row>
    <row r="276" customFormat="false" ht="15" hidden="false" customHeight="false" outlineLevel="0" collapsed="false">
      <c r="A276" s="12" t="n">
        <v>268</v>
      </c>
      <c r="B276" s="13"/>
      <c r="C276" s="12" t="str">
        <f aca="false">IF(B276="","",IF(B276=IFERROR(INDEX(設定!$B$18:$F$18,MATCH(入力!$B$4,設定!$A$23:$A$27,0)),""),1,0))</f>
        <v/>
      </c>
    </row>
    <row r="277" customFormat="false" ht="15" hidden="false" customHeight="false" outlineLevel="0" collapsed="false">
      <c r="A277" s="12" t="n">
        <v>269</v>
      </c>
      <c r="B277" s="13"/>
      <c r="C277" s="12" t="str">
        <f aca="false">IF(B277="","",IF(B277=IFERROR(INDEX(設定!$B$18:$F$18,MATCH(入力!$B$4,設定!$A$23:$A$27,0)),""),1,0))</f>
        <v/>
      </c>
    </row>
    <row r="278" customFormat="false" ht="15" hidden="false" customHeight="false" outlineLevel="0" collapsed="false">
      <c r="A278" s="12" t="n">
        <v>270</v>
      </c>
      <c r="B278" s="13"/>
      <c r="C278" s="12" t="str">
        <f aca="false">IF(B278="","",IF(B278=IFERROR(INDEX(設定!$B$18:$F$18,MATCH(入力!$B$4,設定!$A$23:$A$27,0)),""),1,0))</f>
        <v/>
      </c>
    </row>
    <row r="279" customFormat="false" ht="15" hidden="false" customHeight="false" outlineLevel="0" collapsed="false">
      <c r="A279" s="12" t="n">
        <v>271</v>
      </c>
      <c r="B279" s="13"/>
      <c r="C279" s="12" t="str">
        <f aca="false">IF(B279="","",IF(B279=IFERROR(INDEX(設定!$B$18:$F$18,MATCH(入力!$B$4,設定!$A$23:$A$27,0)),""),1,0))</f>
        <v/>
      </c>
    </row>
    <row r="280" customFormat="false" ht="15" hidden="false" customHeight="false" outlineLevel="0" collapsed="false">
      <c r="A280" s="12" t="n">
        <v>272</v>
      </c>
      <c r="B280" s="13"/>
      <c r="C280" s="12" t="str">
        <f aca="false">IF(B280="","",IF(B280=IFERROR(INDEX(設定!$B$18:$F$18,MATCH(入力!$B$4,設定!$A$23:$A$27,0)),""),1,0))</f>
        <v/>
      </c>
    </row>
    <row r="281" customFormat="false" ht="15" hidden="false" customHeight="false" outlineLevel="0" collapsed="false">
      <c r="A281" s="12" t="n">
        <v>273</v>
      </c>
      <c r="B281" s="13"/>
      <c r="C281" s="12" t="str">
        <f aca="false">IF(B281="","",IF(B281=IFERROR(INDEX(設定!$B$18:$F$18,MATCH(入力!$B$4,設定!$A$23:$A$27,0)),""),1,0))</f>
        <v/>
      </c>
    </row>
    <row r="282" customFormat="false" ht="15" hidden="false" customHeight="false" outlineLevel="0" collapsed="false">
      <c r="A282" s="12" t="n">
        <v>274</v>
      </c>
      <c r="B282" s="13"/>
      <c r="C282" s="12" t="str">
        <f aca="false">IF(B282="","",IF(B282=IFERROR(INDEX(設定!$B$18:$F$18,MATCH(入力!$B$4,設定!$A$23:$A$27,0)),""),1,0))</f>
        <v/>
      </c>
    </row>
    <row r="283" customFormat="false" ht="15" hidden="false" customHeight="false" outlineLevel="0" collapsed="false">
      <c r="A283" s="12" t="n">
        <v>275</v>
      </c>
      <c r="B283" s="13"/>
      <c r="C283" s="12" t="str">
        <f aca="false">IF(B283="","",IF(B283=IFERROR(INDEX(設定!$B$18:$F$18,MATCH(入力!$B$4,設定!$A$23:$A$27,0)),""),1,0))</f>
        <v/>
      </c>
    </row>
    <row r="284" customFormat="false" ht="15" hidden="false" customHeight="false" outlineLevel="0" collapsed="false">
      <c r="A284" s="12" t="n">
        <v>276</v>
      </c>
      <c r="B284" s="13"/>
      <c r="C284" s="12" t="str">
        <f aca="false">IF(B284="","",IF(B284=IFERROR(INDEX(設定!$B$18:$F$18,MATCH(入力!$B$4,設定!$A$23:$A$27,0)),""),1,0))</f>
        <v/>
      </c>
    </row>
    <row r="285" customFormat="false" ht="15" hidden="false" customHeight="false" outlineLevel="0" collapsed="false">
      <c r="A285" s="12" t="n">
        <v>277</v>
      </c>
      <c r="B285" s="13"/>
      <c r="C285" s="12" t="str">
        <f aca="false">IF(B285="","",IF(B285=IFERROR(INDEX(設定!$B$18:$F$18,MATCH(入力!$B$4,設定!$A$23:$A$27,0)),""),1,0))</f>
        <v/>
      </c>
    </row>
    <row r="286" customFormat="false" ht="15" hidden="false" customHeight="false" outlineLevel="0" collapsed="false">
      <c r="A286" s="12" t="n">
        <v>278</v>
      </c>
      <c r="B286" s="13"/>
      <c r="C286" s="12" t="str">
        <f aca="false">IF(B286="","",IF(B286=IFERROR(INDEX(設定!$B$18:$F$18,MATCH(入力!$B$4,設定!$A$23:$A$27,0)),""),1,0))</f>
        <v/>
      </c>
    </row>
    <row r="287" customFormat="false" ht="15" hidden="false" customHeight="false" outlineLevel="0" collapsed="false">
      <c r="A287" s="12" t="n">
        <v>279</v>
      </c>
      <c r="B287" s="13"/>
      <c r="C287" s="12" t="str">
        <f aca="false">IF(B287="","",IF(B287=IFERROR(INDEX(設定!$B$18:$F$18,MATCH(入力!$B$4,設定!$A$23:$A$27,0)),""),1,0))</f>
        <v/>
      </c>
    </row>
    <row r="288" customFormat="false" ht="15" hidden="false" customHeight="false" outlineLevel="0" collapsed="false">
      <c r="A288" s="12" t="n">
        <v>280</v>
      </c>
      <c r="B288" s="13"/>
      <c r="C288" s="12" t="str">
        <f aca="false">IF(B288="","",IF(B288=IFERROR(INDEX(設定!$B$18:$F$18,MATCH(入力!$B$4,設定!$A$23:$A$27,0)),""),1,0))</f>
        <v/>
      </c>
    </row>
    <row r="289" customFormat="false" ht="15" hidden="false" customHeight="false" outlineLevel="0" collapsed="false">
      <c r="A289" s="12" t="n">
        <v>281</v>
      </c>
      <c r="B289" s="13"/>
      <c r="C289" s="12" t="str">
        <f aca="false">IF(B289="","",IF(B289=IFERROR(INDEX(設定!$B$18:$F$18,MATCH(入力!$B$4,設定!$A$23:$A$27,0)),""),1,0))</f>
        <v/>
      </c>
    </row>
    <row r="290" customFormat="false" ht="15" hidden="false" customHeight="false" outlineLevel="0" collapsed="false">
      <c r="A290" s="12" t="n">
        <v>282</v>
      </c>
      <c r="B290" s="13"/>
      <c r="C290" s="12" t="str">
        <f aca="false">IF(B290="","",IF(B290=IFERROR(INDEX(設定!$B$18:$F$18,MATCH(入力!$B$4,設定!$A$23:$A$27,0)),""),1,0))</f>
        <v/>
      </c>
    </row>
    <row r="291" customFormat="false" ht="15" hidden="false" customHeight="false" outlineLevel="0" collapsed="false">
      <c r="A291" s="12" t="n">
        <v>283</v>
      </c>
      <c r="B291" s="13"/>
      <c r="C291" s="12" t="str">
        <f aca="false">IF(B291="","",IF(B291=IFERROR(INDEX(設定!$B$18:$F$18,MATCH(入力!$B$4,設定!$A$23:$A$27,0)),""),1,0))</f>
        <v/>
      </c>
    </row>
    <row r="292" customFormat="false" ht="15" hidden="false" customHeight="false" outlineLevel="0" collapsed="false">
      <c r="A292" s="12" t="n">
        <v>284</v>
      </c>
      <c r="B292" s="13"/>
      <c r="C292" s="12" t="str">
        <f aca="false">IF(B292="","",IF(B292=IFERROR(INDEX(設定!$B$18:$F$18,MATCH(入力!$B$4,設定!$A$23:$A$27,0)),""),1,0))</f>
        <v/>
      </c>
    </row>
    <row r="293" customFormat="false" ht="15" hidden="false" customHeight="false" outlineLevel="0" collapsed="false">
      <c r="A293" s="12" t="n">
        <v>285</v>
      </c>
      <c r="B293" s="13"/>
      <c r="C293" s="12" t="str">
        <f aca="false">IF(B293="","",IF(B293=IFERROR(INDEX(設定!$B$18:$F$18,MATCH(入力!$B$4,設定!$A$23:$A$27,0)),""),1,0))</f>
        <v/>
      </c>
    </row>
    <row r="294" customFormat="false" ht="15" hidden="false" customHeight="false" outlineLevel="0" collapsed="false">
      <c r="A294" s="12" t="n">
        <v>286</v>
      </c>
      <c r="B294" s="13"/>
      <c r="C294" s="12" t="str">
        <f aca="false">IF(B294="","",IF(B294=IFERROR(INDEX(設定!$B$18:$F$18,MATCH(入力!$B$4,設定!$A$23:$A$27,0)),""),1,0))</f>
        <v/>
      </c>
    </row>
    <row r="295" customFormat="false" ht="15" hidden="false" customHeight="false" outlineLevel="0" collapsed="false">
      <c r="A295" s="12" t="n">
        <v>287</v>
      </c>
      <c r="B295" s="13"/>
      <c r="C295" s="12" t="str">
        <f aca="false">IF(B295="","",IF(B295=IFERROR(INDEX(設定!$B$18:$F$18,MATCH(入力!$B$4,設定!$A$23:$A$27,0)),""),1,0))</f>
        <v/>
      </c>
    </row>
    <row r="296" customFormat="false" ht="15" hidden="false" customHeight="false" outlineLevel="0" collapsed="false">
      <c r="A296" s="12" t="n">
        <v>288</v>
      </c>
      <c r="B296" s="13"/>
      <c r="C296" s="12" t="str">
        <f aca="false">IF(B296="","",IF(B296=IFERROR(INDEX(設定!$B$18:$F$18,MATCH(入力!$B$4,設定!$A$23:$A$27,0)),""),1,0))</f>
        <v/>
      </c>
    </row>
    <row r="297" customFormat="false" ht="15" hidden="false" customHeight="false" outlineLevel="0" collapsed="false">
      <c r="A297" s="12" t="n">
        <v>289</v>
      </c>
      <c r="B297" s="13"/>
      <c r="C297" s="12" t="str">
        <f aca="false">IF(B297="","",IF(B297=IFERROR(INDEX(設定!$B$18:$F$18,MATCH(入力!$B$4,設定!$A$23:$A$27,0)),""),1,0))</f>
        <v/>
      </c>
    </row>
    <row r="298" customFormat="false" ht="15" hidden="false" customHeight="false" outlineLevel="0" collapsed="false">
      <c r="A298" s="12" t="n">
        <v>290</v>
      </c>
      <c r="B298" s="13"/>
      <c r="C298" s="12" t="str">
        <f aca="false">IF(B298="","",IF(B298=IFERROR(INDEX(設定!$B$18:$F$18,MATCH(入力!$B$4,設定!$A$23:$A$27,0)),""),1,0))</f>
        <v/>
      </c>
    </row>
    <row r="299" customFormat="false" ht="15" hidden="false" customHeight="false" outlineLevel="0" collapsed="false">
      <c r="A299" s="12" t="n">
        <v>291</v>
      </c>
      <c r="B299" s="13"/>
      <c r="C299" s="12" t="str">
        <f aca="false">IF(B299="","",IF(B299=IFERROR(INDEX(設定!$B$18:$F$18,MATCH(入力!$B$4,設定!$A$23:$A$27,0)),""),1,0))</f>
        <v/>
      </c>
    </row>
    <row r="300" customFormat="false" ht="15" hidden="false" customHeight="false" outlineLevel="0" collapsed="false">
      <c r="A300" s="12" t="n">
        <v>292</v>
      </c>
      <c r="B300" s="13"/>
      <c r="C300" s="12" t="str">
        <f aca="false">IF(B300="","",IF(B300=IFERROR(INDEX(設定!$B$18:$F$18,MATCH(入力!$B$4,設定!$A$23:$A$27,0)),""),1,0))</f>
        <v/>
      </c>
    </row>
    <row r="301" customFormat="false" ht="15" hidden="false" customHeight="false" outlineLevel="0" collapsed="false">
      <c r="A301" s="12" t="n">
        <v>293</v>
      </c>
      <c r="B301" s="13"/>
      <c r="C301" s="12" t="str">
        <f aca="false">IF(B301="","",IF(B301=IFERROR(INDEX(設定!$B$18:$F$18,MATCH(入力!$B$4,設定!$A$23:$A$27,0)),""),1,0))</f>
        <v/>
      </c>
    </row>
    <row r="302" customFormat="false" ht="15" hidden="false" customHeight="false" outlineLevel="0" collapsed="false">
      <c r="A302" s="12" t="n">
        <v>294</v>
      </c>
      <c r="B302" s="13"/>
      <c r="C302" s="12" t="str">
        <f aca="false">IF(B302="","",IF(B302=IFERROR(INDEX(設定!$B$18:$F$18,MATCH(入力!$B$4,設定!$A$23:$A$27,0)),""),1,0))</f>
        <v/>
      </c>
    </row>
    <row r="303" customFormat="false" ht="15" hidden="false" customHeight="false" outlineLevel="0" collapsed="false">
      <c r="A303" s="12" t="n">
        <v>295</v>
      </c>
      <c r="B303" s="13"/>
      <c r="C303" s="12" t="str">
        <f aca="false">IF(B303="","",IF(B303=IFERROR(INDEX(設定!$B$18:$F$18,MATCH(入力!$B$4,設定!$A$23:$A$27,0)),""),1,0))</f>
        <v/>
      </c>
    </row>
    <row r="304" customFormat="false" ht="15" hidden="false" customHeight="false" outlineLevel="0" collapsed="false">
      <c r="A304" s="12" t="n">
        <v>296</v>
      </c>
      <c r="B304" s="13"/>
      <c r="C304" s="12" t="str">
        <f aca="false">IF(B304="","",IF(B304=IFERROR(INDEX(設定!$B$18:$F$18,MATCH(入力!$B$4,設定!$A$23:$A$27,0)),""),1,0))</f>
        <v/>
      </c>
    </row>
    <row r="305" customFormat="false" ht="15" hidden="false" customHeight="false" outlineLevel="0" collapsed="false">
      <c r="A305" s="12" t="n">
        <v>297</v>
      </c>
      <c r="B305" s="13"/>
      <c r="C305" s="12" t="str">
        <f aca="false">IF(B305="","",IF(B305=IFERROR(INDEX(設定!$B$18:$F$18,MATCH(入力!$B$4,設定!$A$23:$A$27,0)),""),1,0))</f>
        <v/>
      </c>
    </row>
    <row r="306" customFormat="false" ht="15" hidden="false" customHeight="false" outlineLevel="0" collapsed="false">
      <c r="A306" s="12" t="n">
        <v>298</v>
      </c>
      <c r="B306" s="13"/>
      <c r="C306" s="12" t="str">
        <f aca="false">IF(B306="","",IF(B306=IFERROR(INDEX(設定!$B$18:$F$18,MATCH(入力!$B$4,設定!$A$23:$A$27,0)),""),1,0))</f>
        <v/>
      </c>
    </row>
    <row r="307" customFormat="false" ht="15" hidden="false" customHeight="false" outlineLevel="0" collapsed="false">
      <c r="A307" s="12" t="n">
        <v>299</v>
      </c>
      <c r="B307" s="13"/>
      <c r="C307" s="12" t="str">
        <f aca="false">IF(B307="","",IF(B307=IFERROR(INDEX(設定!$B$18:$F$18,MATCH(入力!$B$4,設定!$A$23:$A$27,0)),""),1,0))</f>
        <v/>
      </c>
    </row>
    <row r="308" customFormat="false" ht="15" hidden="false" customHeight="false" outlineLevel="0" collapsed="false">
      <c r="A308" s="12" t="n">
        <v>300</v>
      </c>
      <c r="B308" s="13"/>
      <c r="C308" s="12" t="str">
        <f aca="false">IF(B308="","",IF(B308=IFERROR(INDEX(設定!$B$18:$F$18,MATCH(入力!$B$4,設定!$A$23:$A$27,0)),""),1,0))</f>
        <v/>
      </c>
    </row>
    <row r="309" customFormat="false" ht="15" hidden="false" customHeight="false" outlineLevel="0" collapsed="false">
      <c r="A309" s="12" t="n">
        <v>301</v>
      </c>
      <c r="B309" s="13"/>
      <c r="C309" s="12" t="str">
        <f aca="false">IF(B309="","",IF(B309=IFERROR(INDEX(設定!$B$18:$F$18,MATCH(入力!$B$4,設定!$A$23:$A$27,0)),""),1,0))</f>
        <v/>
      </c>
    </row>
    <row r="310" customFormat="false" ht="15" hidden="false" customHeight="false" outlineLevel="0" collapsed="false">
      <c r="A310" s="12" t="n">
        <v>302</v>
      </c>
      <c r="B310" s="13"/>
      <c r="C310" s="12" t="str">
        <f aca="false">IF(B310="","",IF(B310=IFERROR(INDEX(設定!$B$18:$F$18,MATCH(入力!$B$4,設定!$A$23:$A$27,0)),""),1,0))</f>
        <v/>
      </c>
    </row>
    <row r="311" customFormat="false" ht="15" hidden="false" customHeight="false" outlineLevel="0" collapsed="false">
      <c r="A311" s="12" t="n">
        <v>303</v>
      </c>
      <c r="B311" s="13"/>
      <c r="C311" s="12" t="str">
        <f aca="false">IF(B311="","",IF(B311=IFERROR(INDEX(設定!$B$18:$F$18,MATCH(入力!$B$4,設定!$A$23:$A$27,0)),""),1,0))</f>
        <v/>
      </c>
    </row>
    <row r="312" customFormat="false" ht="15" hidden="false" customHeight="false" outlineLevel="0" collapsed="false">
      <c r="A312" s="12" t="n">
        <v>304</v>
      </c>
      <c r="B312" s="13"/>
      <c r="C312" s="12" t="str">
        <f aca="false">IF(B312="","",IF(B312=IFERROR(INDEX(設定!$B$18:$F$18,MATCH(入力!$B$4,設定!$A$23:$A$27,0)),""),1,0))</f>
        <v/>
      </c>
    </row>
    <row r="313" customFormat="false" ht="15" hidden="false" customHeight="false" outlineLevel="0" collapsed="false">
      <c r="A313" s="12" t="n">
        <v>305</v>
      </c>
      <c r="B313" s="13"/>
      <c r="C313" s="12" t="str">
        <f aca="false">IF(B313="","",IF(B313=IFERROR(INDEX(設定!$B$18:$F$18,MATCH(入力!$B$4,設定!$A$23:$A$27,0)),""),1,0))</f>
        <v/>
      </c>
    </row>
    <row r="314" customFormat="false" ht="15" hidden="false" customHeight="false" outlineLevel="0" collapsed="false">
      <c r="A314" s="12" t="n">
        <v>306</v>
      </c>
      <c r="B314" s="13"/>
      <c r="C314" s="12" t="str">
        <f aca="false">IF(B314="","",IF(B314=IFERROR(INDEX(設定!$B$18:$F$18,MATCH(入力!$B$4,設定!$A$23:$A$27,0)),""),1,0))</f>
        <v/>
      </c>
    </row>
    <row r="315" customFormat="false" ht="15" hidden="false" customHeight="false" outlineLevel="0" collapsed="false">
      <c r="A315" s="12" t="n">
        <v>307</v>
      </c>
      <c r="B315" s="13"/>
      <c r="C315" s="12" t="str">
        <f aca="false">IF(B315="","",IF(B315=IFERROR(INDEX(設定!$B$18:$F$18,MATCH(入力!$B$4,設定!$A$23:$A$27,0)),""),1,0))</f>
        <v/>
      </c>
    </row>
    <row r="316" customFormat="false" ht="15" hidden="false" customHeight="false" outlineLevel="0" collapsed="false">
      <c r="A316" s="12" t="n">
        <v>308</v>
      </c>
      <c r="B316" s="13"/>
      <c r="C316" s="12" t="str">
        <f aca="false">IF(B316="","",IF(B316=IFERROR(INDEX(設定!$B$18:$F$18,MATCH(入力!$B$4,設定!$A$23:$A$27,0)),""),1,0))</f>
        <v/>
      </c>
    </row>
    <row r="317" customFormat="false" ht="15" hidden="false" customHeight="false" outlineLevel="0" collapsed="false">
      <c r="A317" s="12" t="n">
        <v>309</v>
      </c>
      <c r="B317" s="13"/>
      <c r="C317" s="12" t="str">
        <f aca="false">IF(B317="","",IF(B317=IFERROR(INDEX(設定!$B$18:$F$18,MATCH(入力!$B$4,設定!$A$23:$A$27,0)),""),1,0))</f>
        <v/>
      </c>
    </row>
    <row r="318" customFormat="false" ht="15" hidden="false" customHeight="false" outlineLevel="0" collapsed="false">
      <c r="A318" s="12" t="n">
        <v>310</v>
      </c>
      <c r="B318" s="13"/>
      <c r="C318" s="12" t="str">
        <f aca="false">IF(B318="","",IF(B318=IFERROR(INDEX(設定!$B$18:$F$18,MATCH(入力!$B$4,設定!$A$23:$A$27,0)),""),1,0))</f>
        <v/>
      </c>
    </row>
    <row r="319" customFormat="false" ht="15" hidden="false" customHeight="false" outlineLevel="0" collapsed="false">
      <c r="A319" s="12" t="n">
        <v>311</v>
      </c>
      <c r="B319" s="13"/>
      <c r="C319" s="12" t="str">
        <f aca="false">IF(B319="","",IF(B319=IFERROR(INDEX(設定!$B$18:$F$18,MATCH(入力!$B$4,設定!$A$23:$A$27,0)),""),1,0))</f>
        <v/>
      </c>
    </row>
    <row r="320" customFormat="false" ht="15" hidden="false" customHeight="false" outlineLevel="0" collapsed="false">
      <c r="A320" s="12" t="n">
        <v>312</v>
      </c>
      <c r="B320" s="13"/>
      <c r="C320" s="12" t="str">
        <f aca="false">IF(B320="","",IF(B320=IFERROR(INDEX(設定!$B$18:$F$18,MATCH(入力!$B$4,設定!$A$23:$A$27,0)),""),1,0))</f>
        <v/>
      </c>
    </row>
    <row r="321" customFormat="false" ht="15" hidden="false" customHeight="false" outlineLevel="0" collapsed="false">
      <c r="A321" s="12" t="n">
        <v>313</v>
      </c>
      <c r="B321" s="13"/>
      <c r="C321" s="12" t="str">
        <f aca="false">IF(B321="","",IF(B321=IFERROR(INDEX(設定!$B$18:$F$18,MATCH(入力!$B$4,設定!$A$23:$A$27,0)),""),1,0))</f>
        <v/>
      </c>
    </row>
    <row r="322" customFormat="false" ht="15" hidden="false" customHeight="false" outlineLevel="0" collapsed="false">
      <c r="A322" s="12" t="n">
        <v>314</v>
      </c>
      <c r="B322" s="13"/>
      <c r="C322" s="12" t="str">
        <f aca="false">IF(B322="","",IF(B322=IFERROR(INDEX(設定!$B$18:$F$18,MATCH(入力!$B$4,設定!$A$23:$A$27,0)),""),1,0))</f>
        <v/>
      </c>
    </row>
    <row r="323" customFormat="false" ht="15" hidden="false" customHeight="false" outlineLevel="0" collapsed="false">
      <c r="A323" s="12" t="n">
        <v>315</v>
      </c>
      <c r="B323" s="13"/>
      <c r="C323" s="12" t="str">
        <f aca="false">IF(B323="","",IF(B323=IFERROR(INDEX(設定!$B$18:$F$18,MATCH(入力!$B$4,設定!$A$23:$A$27,0)),""),1,0))</f>
        <v/>
      </c>
    </row>
    <row r="324" customFormat="false" ht="15" hidden="false" customHeight="false" outlineLevel="0" collapsed="false">
      <c r="A324" s="12" t="n">
        <v>316</v>
      </c>
      <c r="B324" s="13"/>
      <c r="C324" s="12" t="str">
        <f aca="false">IF(B324="","",IF(B324=IFERROR(INDEX(設定!$B$18:$F$18,MATCH(入力!$B$4,設定!$A$23:$A$27,0)),""),1,0))</f>
        <v/>
      </c>
    </row>
    <row r="325" customFormat="false" ht="15" hidden="false" customHeight="false" outlineLevel="0" collapsed="false">
      <c r="A325" s="12" t="n">
        <v>317</v>
      </c>
      <c r="B325" s="13"/>
      <c r="C325" s="12" t="str">
        <f aca="false">IF(B325="","",IF(B325=IFERROR(INDEX(設定!$B$18:$F$18,MATCH(入力!$B$4,設定!$A$23:$A$27,0)),""),1,0))</f>
        <v/>
      </c>
    </row>
    <row r="326" customFormat="false" ht="15" hidden="false" customHeight="false" outlineLevel="0" collapsed="false">
      <c r="A326" s="12" t="n">
        <v>318</v>
      </c>
      <c r="B326" s="13"/>
      <c r="C326" s="12" t="str">
        <f aca="false">IF(B326="","",IF(B326=IFERROR(INDEX(設定!$B$18:$F$18,MATCH(入力!$B$4,設定!$A$23:$A$27,0)),""),1,0))</f>
        <v/>
      </c>
    </row>
    <row r="327" customFormat="false" ht="15" hidden="false" customHeight="false" outlineLevel="0" collapsed="false">
      <c r="A327" s="12" t="n">
        <v>319</v>
      </c>
      <c r="B327" s="13"/>
      <c r="C327" s="12" t="str">
        <f aca="false">IF(B327="","",IF(B327=IFERROR(INDEX(設定!$B$18:$F$18,MATCH(入力!$B$4,設定!$A$23:$A$27,0)),""),1,0))</f>
        <v/>
      </c>
    </row>
    <row r="328" customFormat="false" ht="15" hidden="false" customHeight="false" outlineLevel="0" collapsed="false">
      <c r="A328" s="12" t="n">
        <v>320</v>
      </c>
      <c r="B328" s="13"/>
      <c r="C328" s="12" t="str">
        <f aca="false">IF(B328="","",IF(B328=IFERROR(INDEX(設定!$B$18:$F$18,MATCH(入力!$B$4,設定!$A$23:$A$27,0)),""),1,0))</f>
        <v/>
      </c>
    </row>
    <row r="329" customFormat="false" ht="15" hidden="false" customHeight="false" outlineLevel="0" collapsed="false">
      <c r="A329" s="12" t="n">
        <v>321</v>
      </c>
      <c r="B329" s="13"/>
      <c r="C329" s="12" t="str">
        <f aca="false">IF(B329="","",IF(B329=IFERROR(INDEX(設定!$B$18:$F$18,MATCH(入力!$B$4,設定!$A$23:$A$27,0)),""),1,0))</f>
        <v/>
      </c>
    </row>
    <row r="330" customFormat="false" ht="15" hidden="false" customHeight="false" outlineLevel="0" collapsed="false">
      <c r="A330" s="12" t="n">
        <v>322</v>
      </c>
      <c r="B330" s="13"/>
      <c r="C330" s="12" t="str">
        <f aca="false">IF(B330="","",IF(B330=IFERROR(INDEX(設定!$B$18:$F$18,MATCH(入力!$B$4,設定!$A$23:$A$27,0)),""),1,0))</f>
        <v/>
      </c>
    </row>
    <row r="331" customFormat="false" ht="15" hidden="false" customHeight="false" outlineLevel="0" collapsed="false">
      <c r="A331" s="12" t="n">
        <v>323</v>
      </c>
      <c r="B331" s="13"/>
      <c r="C331" s="12" t="str">
        <f aca="false">IF(B331="","",IF(B331=IFERROR(INDEX(設定!$B$18:$F$18,MATCH(入力!$B$4,設定!$A$23:$A$27,0)),""),1,0))</f>
        <v/>
      </c>
    </row>
    <row r="332" customFormat="false" ht="15" hidden="false" customHeight="false" outlineLevel="0" collapsed="false">
      <c r="A332" s="12" t="n">
        <v>324</v>
      </c>
      <c r="B332" s="13"/>
      <c r="C332" s="12" t="str">
        <f aca="false">IF(B332="","",IF(B332=IFERROR(INDEX(設定!$B$18:$F$18,MATCH(入力!$B$4,設定!$A$23:$A$27,0)),""),1,0))</f>
        <v/>
      </c>
    </row>
    <row r="333" customFormat="false" ht="15" hidden="false" customHeight="false" outlineLevel="0" collapsed="false">
      <c r="A333" s="12" t="n">
        <v>325</v>
      </c>
      <c r="B333" s="13"/>
      <c r="C333" s="12" t="str">
        <f aca="false">IF(B333="","",IF(B333=IFERROR(INDEX(設定!$B$18:$F$18,MATCH(入力!$B$4,設定!$A$23:$A$27,0)),""),1,0))</f>
        <v/>
      </c>
    </row>
    <row r="334" customFormat="false" ht="15" hidden="false" customHeight="false" outlineLevel="0" collapsed="false">
      <c r="A334" s="12" t="n">
        <v>326</v>
      </c>
      <c r="B334" s="13"/>
      <c r="C334" s="12" t="str">
        <f aca="false">IF(B334="","",IF(B334=IFERROR(INDEX(設定!$B$18:$F$18,MATCH(入力!$B$4,設定!$A$23:$A$27,0)),""),1,0))</f>
        <v/>
      </c>
    </row>
    <row r="335" customFormat="false" ht="15" hidden="false" customHeight="false" outlineLevel="0" collapsed="false">
      <c r="A335" s="12" t="n">
        <v>327</v>
      </c>
      <c r="B335" s="13"/>
      <c r="C335" s="12" t="str">
        <f aca="false">IF(B335="","",IF(B335=IFERROR(INDEX(設定!$B$18:$F$18,MATCH(入力!$B$4,設定!$A$23:$A$27,0)),""),1,0))</f>
        <v/>
      </c>
    </row>
    <row r="336" customFormat="false" ht="15" hidden="false" customHeight="false" outlineLevel="0" collapsed="false">
      <c r="A336" s="12" t="n">
        <v>328</v>
      </c>
      <c r="B336" s="13"/>
      <c r="C336" s="12" t="str">
        <f aca="false">IF(B336="","",IF(B336=IFERROR(INDEX(設定!$B$18:$F$18,MATCH(入力!$B$4,設定!$A$23:$A$27,0)),""),1,0))</f>
        <v/>
      </c>
    </row>
    <row r="337" customFormat="false" ht="15" hidden="false" customHeight="false" outlineLevel="0" collapsed="false">
      <c r="A337" s="12" t="n">
        <v>329</v>
      </c>
      <c r="B337" s="13"/>
      <c r="C337" s="12" t="str">
        <f aca="false">IF(B337="","",IF(B337=IFERROR(INDEX(設定!$B$18:$F$18,MATCH(入力!$B$4,設定!$A$23:$A$27,0)),""),1,0))</f>
        <v/>
      </c>
    </row>
    <row r="338" customFormat="false" ht="15" hidden="false" customHeight="false" outlineLevel="0" collapsed="false">
      <c r="A338" s="12" t="n">
        <v>330</v>
      </c>
      <c r="B338" s="13"/>
      <c r="C338" s="12" t="str">
        <f aca="false">IF(B338="","",IF(B338=IFERROR(INDEX(設定!$B$18:$F$18,MATCH(入力!$B$4,設定!$A$23:$A$27,0)),""),1,0))</f>
        <v/>
      </c>
    </row>
    <row r="339" customFormat="false" ht="15" hidden="false" customHeight="false" outlineLevel="0" collapsed="false">
      <c r="A339" s="12" t="n">
        <v>331</v>
      </c>
      <c r="B339" s="13"/>
      <c r="C339" s="12" t="str">
        <f aca="false">IF(B339="","",IF(B339=IFERROR(INDEX(設定!$B$18:$F$18,MATCH(入力!$B$4,設定!$A$23:$A$27,0)),""),1,0))</f>
        <v/>
      </c>
    </row>
    <row r="340" customFormat="false" ht="15" hidden="false" customHeight="false" outlineLevel="0" collapsed="false">
      <c r="A340" s="12" t="n">
        <v>332</v>
      </c>
      <c r="B340" s="13"/>
      <c r="C340" s="12" t="str">
        <f aca="false">IF(B340="","",IF(B340=IFERROR(INDEX(設定!$B$18:$F$18,MATCH(入力!$B$4,設定!$A$23:$A$27,0)),""),1,0))</f>
        <v/>
      </c>
    </row>
    <row r="341" customFormat="false" ht="15" hidden="false" customHeight="false" outlineLevel="0" collapsed="false">
      <c r="A341" s="12" t="n">
        <v>333</v>
      </c>
      <c r="B341" s="13"/>
      <c r="C341" s="12" t="str">
        <f aca="false">IF(B341="","",IF(B341=IFERROR(INDEX(設定!$B$18:$F$18,MATCH(入力!$B$4,設定!$A$23:$A$27,0)),""),1,0))</f>
        <v/>
      </c>
    </row>
    <row r="342" customFormat="false" ht="15" hidden="false" customHeight="false" outlineLevel="0" collapsed="false">
      <c r="A342" s="12" t="n">
        <v>334</v>
      </c>
      <c r="B342" s="13"/>
      <c r="C342" s="12" t="str">
        <f aca="false">IF(B342="","",IF(B342=IFERROR(INDEX(設定!$B$18:$F$18,MATCH(入力!$B$4,設定!$A$23:$A$27,0)),""),1,0))</f>
        <v/>
      </c>
    </row>
    <row r="343" customFormat="false" ht="15" hidden="false" customHeight="false" outlineLevel="0" collapsed="false">
      <c r="A343" s="12" t="n">
        <v>335</v>
      </c>
      <c r="B343" s="13"/>
      <c r="C343" s="12" t="str">
        <f aca="false">IF(B343="","",IF(B343=IFERROR(INDEX(設定!$B$18:$F$18,MATCH(入力!$B$4,設定!$A$23:$A$27,0)),""),1,0))</f>
        <v/>
      </c>
    </row>
    <row r="344" customFormat="false" ht="15" hidden="false" customHeight="false" outlineLevel="0" collapsed="false">
      <c r="A344" s="12" t="n">
        <v>336</v>
      </c>
      <c r="B344" s="13"/>
      <c r="C344" s="12" t="str">
        <f aca="false">IF(B344="","",IF(B344=IFERROR(INDEX(設定!$B$18:$F$18,MATCH(入力!$B$4,設定!$A$23:$A$27,0)),""),1,0))</f>
        <v/>
      </c>
    </row>
    <row r="345" customFormat="false" ht="15" hidden="false" customHeight="false" outlineLevel="0" collapsed="false">
      <c r="A345" s="12" t="n">
        <v>337</v>
      </c>
      <c r="B345" s="13"/>
      <c r="C345" s="12" t="str">
        <f aca="false">IF(B345="","",IF(B345=IFERROR(INDEX(設定!$B$18:$F$18,MATCH(入力!$B$4,設定!$A$23:$A$27,0)),""),1,0))</f>
        <v/>
      </c>
    </row>
    <row r="346" customFormat="false" ht="15" hidden="false" customHeight="false" outlineLevel="0" collapsed="false">
      <c r="A346" s="12" t="n">
        <v>338</v>
      </c>
      <c r="B346" s="13"/>
      <c r="C346" s="12" t="str">
        <f aca="false">IF(B346="","",IF(B346=IFERROR(INDEX(設定!$B$18:$F$18,MATCH(入力!$B$4,設定!$A$23:$A$27,0)),""),1,0))</f>
        <v/>
      </c>
    </row>
    <row r="347" customFormat="false" ht="15" hidden="false" customHeight="false" outlineLevel="0" collapsed="false">
      <c r="A347" s="12" t="n">
        <v>339</v>
      </c>
      <c r="B347" s="13"/>
      <c r="C347" s="12" t="str">
        <f aca="false">IF(B347="","",IF(B347=IFERROR(INDEX(設定!$B$18:$F$18,MATCH(入力!$B$4,設定!$A$23:$A$27,0)),""),1,0))</f>
        <v/>
      </c>
    </row>
    <row r="348" customFormat="false" ht="15" hidden="false" customHeight="false" outlineLevel="0" collapsed="false">
      <c r="A348" s="12" t="n">
        <v>340</v>
      </c>
      <c r="B348" s="13"/>
      <c r="C348" s="12" t="str">
        <f aca="false">IF(B348="","",IF(B348=IFERROR(INDEX(設定!$B$18:$F$18,MATCH(入力!$B$4,設定!$A$23:$A$27,0)),""),1,0))</f>
        <v/>
      </c>
    </row>
    <row r="349" customFormat="false" ht="15" hidden="false" customHeight="false" outlineLevel="0" collapsed="false">
      <c r="A349" s="12" t="n">
        <v>341</v>
      </c>
      <c r="B349" s="13"/>
      <c r="C349" s="12" t="str">
        <f aca="false">IF(B349="","",IF(B349=IFERROR(INDEX(設定!$B$18:$F$18,MATCH(入力!$B$4,設定!$A$23:$A$27,0)),""),1,0))</f>
        <v/>
      </c>
    </row>
    <row r="350" customFormat="false" ht="15" hidden="false" customHeight="false" outlineLevel="0" collapsed="false">
      <c r="A350" s="12" t="n">
        <v>342</v>
      </c>
      <c r="B350" s="13"/>
      <c r="C350" s="12" t="str">
        <f aca="false">IF(B350="","",IF(B350=IFERROR(INDEX(設定!$B$18:$F$18,MATCH(入力!$B$4,設定!$A$23:$A$27,0)),""),1,0))</f>
        <v/>
      </c>
    </row>
    <row r="351" customFormat="false" ht="15" hidden="false" customHeight="false" outlineLevel="0" collapsed="false">
      <c r="A351" s="12" t="n">
        <v>343</v>
      </c>
      <c r="B351" s="13"/>
      <c r="C351" s="12" t="str">
        <f aca="false">IF(B351="","",IF(B351=IFERROR(INDEX(設定!$B$18:$F$18,MATCH(入力!$B$4,設定!$A$23:$A$27,0)),""),1,0))</f>
        <v/>
      </c>
    </row>
    <row r="352" customFormat="false" ht="15" hidden="false" customHeight="false" outlineLevel="0" collapsed="false">
      <c r="A352" s="12" t="n">
        <v>344</v>
      </c>
      <c r="B352" s="13"/>
      <c r="C352" s="12" t="str">
        <f aca="false">IF(B352="","",IF(B352=IFERROR(INDEX(設定!$B$18:$F$18,MATCH(入力!$B$4,設定!$A$23:$A$27,0)),""),1,0))</f>
        <v/>
      </c>
    </row>
    <row r="353" customFormat="false" ht="15" hidden="false" customHeight="false" outlineLevel="0" collapsed="false">
      <c r="A353" s="12" t="n">
        <v>345</v>
      </c>
      <c r="B353" s="13"/>
      <c r="C353" s="12" t="str">
        <f aca="false">IF(B353="","",IF(B353=IFERROR(INDEX(設定!$B$18:$F$18,MATCH(入力!$B$4,設定!$A$23:$A$27,0)),""),1,0))</f>
        <v/>
      </c>
    </row>
    <row r="354" customFormat="false" ht="15" hidden="false" customHeight="false" outlineLevel="0" collapsed="false">
      <c r="A354" s="12" t="n">
        <v>346</v>
      </c>
      <c r="B354" s="13"/>
      <c r="C354" s="12" t="str">
        <f aca="false">IF(B354="","",IF(B354=IFERROR(INDEX(設定!$B$18:$F$18,MATCH(入力!$B$4,設定!$A$23:$A$27,0)),""),1,0))</f>
        <v/>
      </c>
    </row>
    <row r="355" customFormat="false" ht="15" hidden="false" customHeight="false" outlineLevel="0" collapsed="false">
      <c r="A355" s="12" t="n">
        <v>347</v>
      </c>
      <c r="B355" s="13"/>
      <c r="C355" s="12" t="str">
        <f aca="false">IF(B355="","",IF(B355=IFERROR(INDEX(設定!$B$18:$F$18,MATCH(入力!$B$4,設定!$A$23:$A$27,0)),""),1,0))</f>
        <v/>
      </c>
    </row>
    <row r="356" customFormat="false" ht="15" hidden="false" customHeight="false" outlineLevel="0" collapsed="false">
      <c r="A356" s="12" t="n">
        <v>348</v>
      </c>
      <c r="B356" s="13"/>
      <c r="C356" s="12" t="str">
        <f aca="false">IF(B356="","",IF(B356=IFERROR(INDEX(設定!$B$18:$F$18,MATCH(入力!$B$4,設定!$A$23:$A$27,0)),""),1,0))</f>
        <v/>
      </c>
    </row>
    <row r="357" customFormat="false" ht="15" hidden="false" customHeight="false" outlineLevel="0" collapsed="false">
      <c r="A357" s="12" t="n">
        <v>349</v>
      </c>
      <c r="B357" s="13"/>
      <c r="C357" s="12" t="str">
        <f aca="false">IF(B357="","",IF(B357=IFERROR(INDEX(設定!$B$18:$F$18,MATCH(入力!$B$4,設定!$A$23:$A$27,0)),""),1,0))</f>
        <v/>
      </c>
    </row>
    <row r="358" customFormat="false" ht="15" hidden="false" customHeight="false" outlineLevel="0" collapsed="false">
      <c r="A358" s="12" t="n">
        <v>350</v>
      </c>
      <c r="B358" s="13"/>
      <c r="C358" s="12" t="str">
        <f aca="false">IF(B358="","",IF(B358=IFERROR(INDEX(設定!$B$18:$F$18,MATCH(入力!$B$4,設定!$A$23:$A$27,0)),""),1,0))</f>
        <v/>
      </c>
    </row>
    <row r="359" customFormat="false" ht="15" hidden="false" customHeight="false" outlineLevel="0" collapsed="false">
      <c r="A359" s="12" t="n">
        <v>351</v>
      </c>
      <c r="B359" s="13"/>
      <c r="C359" s="12" t="str">
        <f aca="false">IF(B359="","",IF(B359=IFERROR(INDEX(設定!$B$18:$F$18,MATCH(入力!$B$4,設定!$A$23:$A$27,0)),""),1,0))</f>
        <v/>
      </c>
    </row>
    <row r="360" customFormat="false" ht="15" hidden="false" customHeight="false" outlineLevel="0" collapsed="false">
      <c r="A360" s="12" t="n">
        <v>352</v>
      </c>
      <c r="B360" s="13"/>
      <c r="C360" s="12" t="str">
        <f aca="false">IF(B360="","",IF(B360=IFERROR(INDEX(設定!$B$18:$F$18,MATCH(入力!$B$4,設定!$A$23:$A$27,0)),""),1,0))</f>
        <v/>
      </c>
    </row>
    <row r="361" customFormat="false" ht="15" hidden="false" customHeight="false" outlineLevel="0" collapsed="false">
      <c r="A361" s="12" t="n">
        <v>353</v>
      </c>
      <c r="B361" s="13"/>
      <c r="C361" s="12" t="str">
        <f aca="false">IF(B361="","",IF(B361=IFERROR(INDEX(設定!$B$18:$F$18,MATCH(入力!$B$4,設定!$A$23:$A$27,0)),""),1,0))</f>
        <v/>
      </c>
    </row>
    <row r="362" customFormat="false" ht="15" hidden="false" customHeight="false" outlineLevel="0" collapsed="false">
      <c r="A362" s="12" t="n">
        <v>354</v>
      </c>
      <c r="B362" s="13"/>
      <c r="C362" s="12" t="str">
        <f aca="false">IF(B362="","",IF(B362=IFERROR(INDEX(設定!$B$18:$F$18,MATCH(入力!$B$4,設定!$A$23:$A$27,0)),""),1,0))</f>
        <v/>
      </c>
    </row>
    <row r="363" customFormat="false" ht="15" hidden="false" customHeight="false" outlineLevel="0" collapsed="false">
      <c r="A363" s="12" t="n">
        <v>355</v>
      </c>
      <c r="B363" s="13"/>
      <c r="C363" s="12" t="str">
        <f aca="false">IF(B363="","",IF(B363=IFERROR(INDEX(設定!$B$18:$F$18,MATCH(入力!$B$4,設定!$A$23:$A$27,0)),""),1,0))</f>
        <v/>
      </c>
    </row>
    <row r="364" customFormat="false" ht="15" hidden="false" customHeight="false" outlineLevel="0" collapsed="false">
      <c r="A364" s="12" t="n">
        <v>356</v>
      </c>
      <c r="B364" s="13"/>
      <c r="C364" s="12" t="str">
        <f aca="false">IF(B364="","",IF(B364=IFERROR(INDEX(設定!$B$18:$F$18,MATCH(入力!$B$4,設定!$A$23:$A$27,0)),""),1,0))</f>
        <v/>
      </c>
    </row>
    <row r="365" customFormat="false" ht="15" hidden="false" customHeight="false" outlineLevel="0" collapsed="false">
      <c r="A365" s="12" t="n">
        <v>357</v>
      </c>
      <c r="B365" s="13"/>
      <c r="C365" s="12" t="str">
        <f aca="false">IF(B365="","",IF(B365=IFERROR(INDEX(設定!$B$18:$F$18,MATCH(入力!$B$4,設定!$A$23:$A$27,0)),""),1,0))</f>
        <v/>
      </c>
    </row>
    <row r="366" customFormat="false" ht="15" hidden="false" customHeight="false" outlineLevel="0" collapsed="false">
      <c r="A366" s="12" t="n">
        <v>358</v>
      </c>
      <c r="B366" s="13"/>
      <c r="C366" s="12" t="str">
        <f aca="false">IF(B366="","",IF(B366=IFERROR(INDEX(設定!$B$18:$F$18,MATCH(入力!$B$4,設定!$A$23:$A$27,0)),""),1,0))</f>
        <v/>
      </c>
    </row>
    <row r="367" customFormat="false" ht="15" hidden="false" customHeight="false" outlineLevel="0" collapsed="false">
      <c r="A367" s="12" t="n">
        <v>359</v>
      </c>
      <c r="B367" s="13"/>
      <c r="C367" s="12" t="str">
        <f aca="false">IF(B367="","",IF(B367=IFERROR(INDEX(設定!$B$18:$F$18,MATCH(入力!$B$4,設定!$A$23:$A$27,0)),""),1,0))</f>
        <v/>
      </c>
    </row>
    <row r="368" customFormat="false" ht="15" hidden="false" customHeight="false" outlineLevel="0" collapsed="false">
      <c r="A368" s="12" t="n">
        <v>360</v>
      </c>
      <c r="B368" s="13"/>
      <c r="C368" s="12" t="str">
        <f aca="false">IF(B368="","",IF(B368=IFERROR(INDEX(設定!$B$18:$F$18,MATCH(入力!$B$4,設定!$A$23:$A$27,0)),""),1,0))</f>
        <v/>
      </c>
    </row>
    <row r="369" customFormat="false" ht="15" hidden="false" customHeight="false" outlineLevel="0" collapsed="false">
      <c r="A369" s="12" t="n">
        <v>361</v>
      </c>
      <c r="B369" s="13"/>
      <c r="C369" s="12" t="str">
        <f aca="false">IF(B369="","",IF(B369=IFERROR(INDEX(設定!$B$18:$F$18,MATCH(入力!$B$4,設定!$A$23:$A$27,0)),""),1,0))</f>
        <v/>
      </c>
    </row>
    <row r="370" customFormat="false" ht="15" hidden="false" customHeight="false" outlineLevel="0" collapsed="false">
      <c r="A370" s="12" t="n">
        <v>362</v>
      </c>
      <c r="B370" s="13"/>
      <c r="C370" s="12" t="str">
        <f aca="false">IF(B370="","",IF(B370=IFERROR(INDEX(設定!$B$18:$F$18,MATCH(入力!$B$4,設定!$A$23:$A$27,0)),""),1,0))</f>
        <v/>
      </c>
    </row>
    <row r="371" customFormat="false" ht="15" hidden="false" customHeight="false" outlineLevel="0" collapsed="false">
      <c r="A371" s="12" t="n">
        <v>363</v>
      </c>
      <c r="B371" s="13"/>
      <c r="C371" s="12" t="str">
        <f aca="false">IF(B371="","",IF(B371=IFERROR(INDEX(設定!$B$18:$F$18,MATCH(入力!$B$4,設定!$A$23:$A$27,0)),""),1,0))</f>
        <v/>
      </c>
    </row>
    <row r="372" customFormat="false" ht="15" hidden="false" customHeight="false" outlineLevel="0" collapsed="false">
      <c r="A372" s="12" t="n">
        <v>364</v>
      </c>
      <c r="B372" s="13"/>
      <c r="C372" s="12" t="str">
        <f aca="false">IF(B372="","",IF(B372=IFERROR(INDEX(設定!$B$18:$F$18,MATCH(入力!$B$4,設定!$A$23:$A$27,0)),""),1,0))</f>
        <v/>
      </c>
    </row>
    <row r="373" customFormat="false" ht="15" hidden="false" customHeight="false" outlineLevel="0" collapsed="false">
      <c r="A373" s="12" t="n">
        <v>365</v>
      </c>
      <c r="B373" s="13"/>
      <c r="C373" s="12" t="str">
        <f aca="false">IF(B373="","",IF(B373=IFERROR(INDEX(設定!$B$18:$F$18,MATCH(入力!$B$4,設定!$A$23:$A$27,0)),""),1,0))</f>
        <v/>
      </c>
    </row>
    <row r="374" customFormat="false" ht="15" hidden="false" customHeight="false" outlineLevel="0" collapsed="false">
      <c r="A374" s="12" t="n">
        <v>366</v>
      </c>
      <c r="B374" s="13"/>
      <c r="C374" s="12" t="str">
        <f aca="false">IF(B374="","",IF(B374=IFERROR(INDEX(設定!$B$18:$F$18,MATCH(入力!$B$4,設定!$A$23:$A$27,0)),""),1,0))</f>
        <v/>
      </c>
    </row>
    <row r="375" customFormat="false" ht="15" hidden="false" customHeight="false" outlineLevel="0" collapsed="false">
      <c r="A375" s="12" t="n">
        <v>367</v>
      </c>
      <c r="B375" s="13"/>
      <c r="C375" s="12" t="str">
        <f aca="false">IF(B375="","",IF(B375=IFERROR(INDEX(設定!$B$18:$F$18,MATCH(入力!$B$4,設定!$A$23:$A$27,0)),""),1,0))</f>
        <v/>
      </c>
    </row>
    <row r="376" customFormat="false" ht="15" hidden="false" customHeight="false" outlineLevel="0" collapsed="false">
      <c r="A376" s="12" t="n">
        <v>368</v>
      </c>
      <c r="B376" s="13"/>
      <c r="C376" s="12" t="str">
        <f aca="false">IF(B376="","",IF(B376=IFERROR(INDEX(設定!$B$18:$F$18,MATCH(入力!$B$4,設定!$A$23:$A$27,0)),""),1,0))</f>
        <v/>
      </c>
    </row>
    <row r="377" customFormat="false" ht="15" hidden="false" customHeight="false" outlineLevel="0" collapsed="false">
      <c r="A377" s="12" t="n">
        <v>369</v>
      </c>
      <c r="B377" s="13"/>
      <c r="C377" s="12" t="str">
        <f aca="false">IF(B377="","",IF(B377=IFERROR(INDEX(設定!$B$18:$F$18,MATCH(入力!$B$4,設定!$A$23:$A$27,0)),""),1,0))</f>
        <v/>
      </c>
    </row>
    <row r="378" customFormat="false" ht="15" hidden="false" customHeight="false" outlineLevel="0" collapsed="false">
      <c r="A378" s="12" t="n">
        <v>370</v>
      </c>
      <c r="B378" s="13"/>
      <c r="C378" s="12" t="str">
        <f aca="false">IF(B378="","",IF(B378=IFERROR(INDEX(設定!$B$18:$F$18,MATCH(入力!$B$4,設定!$A$23:$A$27,0)),""),1,0))</f>
        <v/>
      </c>
    </row>
    <row r="379" customFormat="false" ht="15" hidden="false" customHeight="false" outlineLevel="0" collapsed="false">
      <c r="A379" s="12" t="n">
        <v>371</v>
      </c>
      <c r="B379" s="13"/>
      <c r="C379" s="12" t="str">
        <f aca="false">IF(B379="","",IF(B379=IFERROR(INDEX(設定!$B$18:$F$18,MATCH(入力!$B$4,設定!$A$23:$A$27,0)),""),1,0))</f>
        <v/>
      </c>
    </row>
    <row r="380" customFormat="false" ht="15" hidden="false" customHeight="false" outlineLevel="0" collapsed="false">
      <c r="A380" s="12" t="n">
        <v>372</v>
      </c>
      <c r="B380" s="13"/>
      <c r="C380" s="12" t="str">
        <f aca="false">IF(B380="","",IF(B380=IFERROR(INDEX(設定!$B$18:$F$18,MATCH(入力!$B$4,設定!$A$23:$A$27,0)),""),1,0))</f>
        <v/>
      </c>
    </row>
    <row r="381" customFormat="false" ht="15" hidden="false" customHeight="false" outlineLevel="0" collapsed="false">
      <c r="A381" s="12" t="n">
        <v>373</v>
      </c>
      <c r="B381" s="13"/>
      <c r="C381" s="12" t="str">
        <f aca="false">IF(B381="","",IF(B381=IFERROR(INDEX(設定!$B$18:$F$18,MATCH(入力!$B$4,設定!$A$23:$A$27,0)),""),1,0))</f>
        <v/>
      </c>
    </row>
    <row r="382" customFormat="false" ht="15" hidden="false" customHeight="false" outlineLevel="0" collapsed="false">
      <c r="A382" s="12" t="n">
        <v>374</v>
      </c>
      <c r="B382" s="13"/>
      <c r="C382" s="12" t="str">
        <f aca="false">IF(B382="","",IF(B382=IFERROR(INDEX(設定!$B$18:$F$18,MATCH(入力!$B$4,設定!$A$23:$A$27,0)),""),1,0))</f>
        <v/>
      </c>
    </row>
    <row r="383" customFormat="false" ht="15" hidden="false" customHeight="false" outlineLevel="0" collapsed="false">
      <c r="A383" s="12" t="n">
        <v>375</v>
      </c>
      <c r="B383" s="13"/>
      <c r="C383" s="12" t="str">
        <f aca="false">IF(B383="","",IF(B383=IFERROR(INDEX(設定!$B$18:$F$18,MATCH(入力!$B$4,設定!$A$23:$A$27,0)),""),1,0))</f>
        <v/>
      </c>
    </row>
    <row r="384" customFormat="false" ht="15" hidden="false" customHeight="false" outlineLevel="0" collapsed="false">
      <c r="A384" s="12" t="n">
        <v>376</v>
      </c>
      <c r="B384" s="13"/>
      <c r="C384" s="12" t="str">
        <f aca="false">IF(B384="","",IF(B384=IFERROR(INDEX(設定!$B$18:$F$18,MATCH(入力!$B$4,設定!$A$23:$A$27,0)),""),1,0))</f>
        <v/>
      </c>
    </row>
    <row r="385" customFormat="false" ht="15" hidden="false" customHeight="false" outlineLevel="0" collapsed="false">
      <c r="A385" s="12" t="n">
        <v>377</v>
      </c>
      <c r="B385" s="13"/>
      <c r="C385" s="12" t="str">
        <f aca="false">IF(B385="","",IF(B385=IFERROR(INDEX(設定!$B$18:$F$18,MATCH(入力!$B$4,設定!$A$23:$A$27,0)),""),1,0))</f>
        <v/>
      </c>
    </row>
    <row r="386" customFormat="false" ht="15" hidden="false" customHeight="false" outlineLevel="0" collapsed="false">
      <c r="A386" s="12" t="n">
        <v>378</v>
      </c>
      <c r="B386" s="13"/>
      <c r="C386" s="12" t="str">
        <f aca="false">IF(B386="","",IF(B386=IFERROR(INDEX(設定!$B$18:$F$18,MATCH(入力!$B$4,設定!$A$23:$A$27,0)),""),1,0))</f>
        <v/>
      </c>
    </row>
    <row r="387" customFormat="false" ht="15" hidden="false" customHeight="false" outlineLevel="0" collapsed="false">
      <c r="A387" s="12" t="n">
        <v>379</v>
      </c>
      <c r="B387" s="13"/>
      <c r="C387" s="12" t="str">
        <f aca="false">IF(B387="","",IF(B387=IFERROR(INDEX(設定!$B$18:$F$18,MATCH(入力!$B$4,設定!$A$23:$A$27,0)),""),1,0))</f>
        <v/>
      </c>
    </row>
    <row r="388" customFormat="false" ht="15" hidden="false" customHeight="false" outlineLevel="0" collapsed="false">
      <c r="A388" s="12" t="n">
        <v>380</v>
      </c>
      <c r="B388" s="13"/>
      <c r="C388" s="12" t="str">
        <f aca="false">IF(B388="","",IF(B388=IFERROR(INDEX(設定!$B$18:$F$18,MATCH(入力!$B$4,設定!$A$23:$A$27,0)),""),1,0))</f>
        <v/>
      </c>
    </row>
    <row r="389" customFormat="false" ht="15" hidden="false" customHeight="false" outlineLevel="0" collapsed="false">
      <c r="A389" s="12" t="n">
        <v>381</v>
      </c>
      <c r="B389" s="13"/>
      <c r="C389" s="12" t="str">
        <f aca="false">IF(B389="","",IF(B389=IFERROR(INDEX(設定!$B$18:$F$18,MATCH(入力!$B$4,設定!$A$23:$A$27,0)),""),1,0))</f>
        <v/>
      </c>
    </row>
    <row r="390" customFormat="false" ht="15" hidden="false" customHeight="false" outlineLevel="0" collapsed="false">
      <c r="A390" s="12" t="n">
        <v>382</v>
      </c>
      <c r="B390" s="13"/>
      <c r="C390" s="12" t="str">
        <f aca="false">IF(B390="","",IF(B390=IFERROR(INDEX(設定!$B$18:$F$18,MATCH(入力!$B$4,設定!$A$23:$A$27,0)),""),1,0))</f>
        <v/>
      </c>
    </row>
    <row r="391" customFormat="false" ht="15" hidden="false" customHeight="false" outlineLevel="0" collapsed="false">
      <c r="A391" s="12" t="n">
        <v>383</v>
      </c>
      <c r="B391" s="13"/>
      <c r="C391" s="12" t="str">
        <f aca="false">IF(B391="","",IF(B391=IFERROR(INDEX(設定!$B$18:$F$18,MATCH(入力!$B$4,設定!$A$23:$A$27,0)),""),1,0))</f>
        <v/>
      </c>
    </row>
    <row r="392" customFormat="false" ht="15" hidden="false" customHeight="false" outlineLevel="0" collapsed="false">
      <c r="A392" s="12" t="n">
        <v>384</v>
      </c>
      <c r="B392" s="13"/>
      <c r="C392" s="12" t="str">
        <f aca="false">IF(B392="","",IF(B392=IFERROR(INDEX(設定!$B$18:$F$18,MATCH(入力!$B$4,設定!$A$23:$A$27,0)),""),1,0))</f>
        <v/>
      </c>
    </row>
    <row r="393" customFormat="false" ht="15" hidden="false" customHeight="false" outlineLevel="0" collapsed="false">
      <c r="A393" s="12" t="n">
        <v>385</v>
      </c>
      <c r="B393" s="13"/>
      <c r="C393" s="12" t="str">
        <f aca="false">IF(B393="","",IF(B393=IFERROR(INDEX(設定!$B$18:$F$18,MATCH(入力!$B$4,設定!$A$23:$A$27,0)),""),1,0))</f>
        <v/>
      </c>
    </row>
    <row r="394" customFormat="false" ht="15" hidden="false" customHeight="false" outlineLevel="0" collapsed="false">
      <c r="A394" s="12" t="n">
        <v>386</v>
      </c>
      <c r="B394" s="13"/>
      <c r="C394" s="12" t="str">
        <f aca="false">IF(B394="","",IF(B394=IFERROR(INDEX(設定!$B$18:$F$18,MATCH(入力!$B$4,設定!$A$23:$A$27,0)),""),1,0))</f>
        <v/>
      </c>
    </row>
    <row r="395" customFormat="false" ht="15" hidden="false" customHeight="false" outlineLevel="0" collapsed="false">
      <c r="A395" s="12" t="n">
        <v>387</v>
      </c>
      <c r="B395" s="13"/>
      <c r="C395" s="12" t="str">
        <f aca="false">IF(B395="","",IF(B395=IFERROR(INDEX(設定!$B$18:$F$18,MATCH(入力!$B$4,設定!$A$23:$A$27,0)),""),1,0))</f>
        <v/>
      </c>
    </row>
    <row r="396" customFormat="false" ht="15" hidden="false" customHeight="false" outlineLevel="0" collapsed="false">
      <c r="A396" s="12" t="n">
        <v>388</v>
      </c>
      <c r="B396" s="13"/>
      <c r="C396" s="12" t="str">
        <f aca="false">IF(B396="","",IF(B396=IFERROR(INDEX(設定!$B$18:$F$18,MATCH(入力!$B$4,設定!$A$23:$A$27,0)),""),1,0))</f>
        <v/>
      </c>
    </row>
    <row r="397" customFormat="false" ht="15" hidden="false" customHeight="false" outlineLevel="0" collapsed="false">
      <c r="A397" s="12" t="n">
        <v>389</v>
      </c>
      <c r="B397" s="13"/>
      <c r="C397" s="12" t="str">
        <f aca="false">IF(B397="","",IF(B397=IFERROR(INDEX(設定!$B$18:$F$18,MATCH(入力!$B$4,設定!$A$23:$A$27,0)),""),1,0))</f>
        <v/>
      </c>
    </row>
    <row r="398" customFormat="false" ht="15" hidden="false" customHeight="false" outlineLevel="0" collapsed="false">
      <c r="A398" s="12" t="n">
        <v>390</v>
      </c>
      <c r="B398" s="13"/>
      <c r="C398" s="12" t="str">
        <f aca="false">IF(B398="","",IF(B398=IFERROR(INDEX(設定!$B$18:$F$18,MATCH(入力!$B$4,設定!$A$23:$A$27,0)),""),1,0))</f>
        <v/>
      </c>
    </row>
    <row r="399" customFormat="false" ht="15" hidden="false" customHeight="false" outlineLevel="0" collapsed="false">
      <c r="A399" s="12" t="n">
        <v>391</v>
      </c>
      <c r="B399" s="13"/>
      <c r="C399" s="12" t="str">
        <f aca="false">IF(B399="","",IF(B399=IFERROR(INDEX(設定!$B$18:$F$18,MATCH(入力!$B$4,設定!$A$23:$A$27,0)),""),1,0))</f>
        <v/>
      </c>
    </row>
    <row r="400" customFormat="false" ht="15" hidden="false" customHeight="false" outlineLevel="0" collapsed="false">
      <c r="A400" s="12" t="n">
        <v>392</v>
      </c>
      <c r="B400" s="13"/>
      <c r="C400" s="12" t="str">
        <f aca="false">IF(B400="","",IF(B400=IFERROR(INDEX(設定!$B$18:$F$18,MATCH(入力!$B$4,設定!$A$23:$A$27,0)),""),1,0))</f>
        <v/>
      </c>
    </row>
    <row r="401" customFormat="false" ht="15" hidden="false" customHeight="false" outlineLevel="0" collapsed="false">
      <c r="A401" s="12" t="n">
        <v>393</v>
      </c>
      <c r="B401" s="13"/>
      <c r="C401" s="12" t="str">
        <f aca="false">IF(B401="","",IF(B401=IFERROR(INDEX(設定!$B$18:$F$18,MATCH(入力!$B$4,設定!$A$23:$A$27,0)),""),1,0))</f>
        <v/>
      </c>
    </row>
    <row r="402" customFormat="false" ht="15" hidden="false" customHeight="false" outlineLevel="0" collapsed="false">
      <c r="A402" s="12" t="n">
        <v>394</v>
      </c>
      <c r="B402" s="13"/>
      <c r="C402" s="12" t="str">
        <f aca="false">IF(B402="","",IF(B402=IFERROR(INDEX(設定!$B$18:$F$18,MATCH(入力!$B$4,設定!$A$23:$A$27,0)),""),1,0))</f>
        <v/>
      </c>
    </row>
    <row r="403" customFormat="false" ht="15" hidden="false" customHeight="false" outlineLevel="0" collapsed="false">
      <c r="A403" s="12" t="n">
        <v>395</v>
      </c>
      <c r="B403" s="13"/>
      <c r="C403" s="12" t="str">
        <f aca="false">IF(B403="","",IF(B403=IFERROR(INDEX(設定!$B$18:$F$18,MATCH(入力!$B$4,設定!$A$23:$A$27,0)),""),1,0))</f>
        <v/>
      </c>
    </row>
    <row r="404" customFormat="false" ht="15" hidden="false" customHeight="false" outlineLevel="0" collapsed="false">
      <c r="A404" s="12" t="n">
        <v>396</v>
      </c>
      <c r="B404" s="13"/>
      <c r="C404" s="12" t="str">
        <f aca="false">IF(B404="","",IF(B404=IFERROR(INDEX(設定!$B$18:$F$18,MATCH(入力!$B$4,設定!$A$23:$A$27,0)),""),1,0))</f>
        <v/>
      </c>
    </row>
    <row r="405" customFormat="false" ht="15" hidden="false" customHeight="false" outlineLevel="0" collapsed="false">
      <c r="A405" s="12" t="n">
        <v>397</v>
      </c>
      <c r="B405" s="13"/>
      <c r="C405" s="12" t="str">
        <f aca="false">IF(B405="","",IF(B405=IFERROR(INDEX(設定!$B$18:$F$18,MATCH(入力!$B$4,設定!$A$23:$A$27,0)),""),1,0))</f>
        <v/>
      </c>
    </row>
    <row r="406" customFormat="false" ht="15" hidden="false" customHeight="false" outlineLevel="0" collapsed="false">
      <c r="A406" s="12" t="n">
        <v>398</v>
      </c>
      <c r="B406" s="13"/>
      <c r="C406" s="12" t="str">
        <f aca="false">IF(B406="","",IF(B406=IFERROR(INDEX(設定!$B$18:$F$18,MATCH(入力!$B$4,設定!$A$23:$A$27,0)),""),1,0))</f>
        <v/>
      </c>
    </row>
    <row r="407" customFormat="false" ht="15" hidden="false" customHeight="false" outlineLevel="0" collapsed="false">
      <c r="A407" s="12" t="n">
        <v>399</v>
      </c>
      <c r="B407" s="13"/>
      <c r="C407" s="12" t="str">
        <f aca="false">IF(B407="","",IF(B407=IFERROR(INDEX(設定!$B$18:$F$18,MATCH(入力!$B$4,設定!$A$23:$A$27,0)),""),1,0))</f>
        <v/>
      </c>
    </row>
    <row r="408" customFormat="false" ht="15" hidden="false" customHeight="false" outlineLevel="0" collapsed="false">
      <c r="A408" s="12" t="n">
        <v>400</v>
      </c>
      <c r="B408" s="13"/>
      <c r="C408" s="12" t="str">
        <f aca="false">IF(B408="","",IF(B408=IFERROR(INDEX(設定!$B$18:$F$18,MATCH(入力!$B$4,設定!$A$23:$A$27,0)),""),1,0))</f>
        <v/>
      </c>
    </row>
    <row r="409" customFormat="false" ht="15" hidden="false" customHeight="false" outlineLevel="0" collapsed="false">
      <c r="A409" s="12" t="n">
        <v>401</v>
      </c>
      <c r="B409" s="13"/>
      <c r="C409" s="12" t="str">
        <f aca="false">IF(B409="","",IF(B409=IFERROR(INDEX(設定!$B$18:$F$18,MATCH(入力!$B$4,設定!$A$23:$A$27,0)),""),1,0))</f>
        <v/>
      </c>
    </row>
    <row r="410" customFormat="false" ht="15" hidden="false" customHeight="false" outlineLevel="0" collapsed="false">
      <c r="A410" s="12" t="n">
        <v>402</v>
      </c>
      <c r="B410" s="13"/>
      <c r="C410" s="12" t="str">
        <f aca="false">IF(B410="","",IF(B410=IFERROR(INDEX(設定!$B$18:$F$18,MATCH(入力!$B$4,設定!$A$23:$A$27,0)),""),1,0))</f>
        <v/>
      </c>
    </row>
    <row r="411" customFormat="false" ht="15" hidden="false" customHeight="false" outlineLevel="0" collapsed="false">
      <c r="A411" s="12" t="n">
        <v>403</v>
      </c>
      <c r="B411" s="13"/>
      <c r="C411" s="12" t="str">
        <f aca="false">IF(B411="","",IF(B411=IFERROR(INDEX(設定!$B$18:$F$18,MATCH(入力!$B$4,設定!$A$23:$A$27,0)),""),1,0))</f>
        <v/>
      </c>
    </row>
    <row r="412" customFormat="false" ht="15" hidden="false" customHeight="false" outlineLevel="0" collapsed="false">
      <c r="A412" s="12" t="n">
        <v>404</v>
      </c>
      <c r="B412" s="13"/>
      <c r="C412" s="12" t="str">
        <f aca="false">IF(B412="","",IF(B412=IFERROR(INDEX(設定!$B$18:$F$18,MATCH(入力!$B$4,設定!$A$23:$A$27,0)),""),1,0))</f>
        <v/>
      </c>
    </row>
    <row r="413" customFormat="false" ht="15" hidden="false" customHeight="false" outlineLevel="0" collapsed="false">
      <c r="A413" s="12" t="n">
        <v>405</v>
      </c>
      <c r="B413" s="13"/>
      <c r="C413" s="12" t="str">
        <f aca="false">IF(B413="","",IF(B413=IFERROR(INDEX(設定!$B$18:$F$18,MATCH(入力!$B$4,設定!$A$23:$A$27,0)),""),1,0))</f>
        <v/>
      </c>
    </row>
    <row r="414" customFormat="false" ht="15" hidden="false" customHeight="false" outlineLevel="0" collapsed="false">
      <c r="A414" s="12" t="n">
        <v>406</v>
      </c>
      <c r="B414" s="13"/>
      <c r="C414" s="12" t="str">
        <f aca="false">IF(B414="","",IF(B414=IFERROR(INDEX(設定!$B$18:$F$18,MATCH(入力!$B$4,設定!$A$23:$A$27,0)),""),1,0))</f>
        <v/>
      </c>
    </row>
    <row r="415" customFormat="false" ht="15" hidden="false" customHeight="false" outlineLevel="0" collapsed="false">
      <c r="A415" s="12" t="n">
        <v>407</v>
      </c>
      <c r="B415" s="13"/>
      <c r="C415" s="12" t="str">
        <f aca="false">IF(B415="","",IF(B415=IFERROR(INDEX(設定!$B$18:$F$18,MATCH(入力!$B$4,設定!$A$23:$A$27,0)),""),1,0))</f>
        <v/>
      </c>
    </row>
    <row r="416" customFormat="false" ht="15" hidden="false" customHeight="false" outlineLevel="0" collapsed="false">
      <c r="A416" s="12" t="n">
        <v>408</v>
      </c>
      <c r="B416" s="13"/>
      <c r="C416" s="12" t="str">
        <f aca="false">IF(B416="","",IF(B416=IFERROR(INDEX(設定!$B$18:$F$18,MATCH(入力!$B$4,設定!$A$23:$A$27,0)),""),1,0))</f>
        <v/>
      </c>
    </row>
    <row r="417" customFormat="false" ht="15" hidden="false" customHeight="false" outlineLevel="0" collapsed="false">
      <c r="A417" s="12" t="n">
        <v>409</v>
      </c>
      <c r="B417" s="13"/>
      <c r="C417" s="12" t="str">
        <f aca="false">IF(B417="","",IF(B417=IFERROR(INDEX(設定!$B$18:$F$18,MATCH(入力!$B$4,設定!$A$23:$A$27,0)),""),1,0))</f>
        <v/>
      </c>
    </row>
    <row r="418" customFormat="false" ht="15" hidden="false" customHeight="false" outlineLevel="0" collapsed="false">
      <c r="A418" s="12" t="n">
        <v>410</v>
      </c>
      <c r="B418" s="13"/>
      <c r="C418" s="12" t="str">
        <f aca="false">IF(B418="","",IF(B418=IFERROR(INDEX(設定!$B$18:$F$18,MATCH(入力!$B$4,設定!$A$23:$A$27,0)),""),1,0))</f>
        <v/>
      </c>
    </row>
    <row r="419" customFormat="false" ht="15" hidden="false" customHeight="false" outlineLevel="0" collapsed="false">
      <c r="A419" s="12" t="n">
        <v>411</v>
      </c>
      <c r="B419" s="13"/>
      <c r="C419" s="12" t="str">
        <f aca="false">IF(B419="","",IF(B419=IFERROR(INDEX(設定!$B$18:$F$18,MATCH(入力!$B$4,設定!$A$23:$A$27,0)),""),1,0))</f>
        <v/>
      </c>
    </row>
    <row r="420" customFormat="false" ht="15" hidden="false" customHeight="false" outlineLevel="0" collapsed="false">
      <c r="A420" s="12" t="n">
        <v>412</v>
      </c>
      <c r="B420" s="13"/>
      <c r="C420" s="12" t="str">
        <f aca="false">IF(B420="","",IF(B420=IFERROR(INDEX(設定!$B$18:$F$18,MATCH(入力!$B$4,設定!$A$23:$A$27,0)),""),1,0))</f>
        <v/>
      </c>
    </row>
    <row r="421" customFormat="false" ht="15" hidden="false" customHeight="false" outlineLevel="0" collapsed="false">
      <c r="A421" s="12" t="n">
        <v>413</v>
      </c>
      <c r="B421" s="13"/>
      <c r="C421" s="12" t="str">
        <f aca="false">IF(B421="","",IF(B421=IFERROR(INDEX(設定!$B$18:$F$18,MATCH(入力!$B$4,設定!$A$23:$A$27,0)),""),1,0))</f>
        <v/>
      </c>
    </row>
    <row r="422" customFormat="false" ht="15" hidden="false" customHeight="false" outlineLevel="0" collapsed="false">
      <c r="A422" s="12" t="n">
        <v>414</v>
      </c>
      <c r="B422" s="13"/>
      <c r="C422" s="12" t="str">
        <f aca="false">IF(B422="","",IF(B422=IFERROR(INDEX(設定!$B$18:$F$18,MATCH(入力!$B$4,設定!$A$23:$A$27,0)),""),1,0))</f>
        <v/>
      </c>
    </row>
    <row r="423" customFormat="false" ht="15" hidden="false" customHeight="false" outlineLevel="0" collapsed="false">
      <c r="A423" s="12" t="n">
        <v>415</v>
      </c>
      <c r="B423" s="13"/>
      <c r="C423" s="12" t="str">
        <f aca="false">IF(B423="","",IF(B423=IFERROR(INDEX(設定!$B$18:$F$18,MATCH(入力!$B$4,設定!$A$23:$A$27,0)),""),1,0))</f>
        <v/>
      </c>
    </row>
    <row r="424" customFormat="false" ht="15" hidden="false" customHeight="false" outlineLevel="0" collapsed="false">
      <c r="A424" s="12" t="n">
        <v>416</v>
      </c>
      <c r="B424" s="13"/>
      <c r="C424" s="12" t="str">
        <f aca="false">IF(B424="","",IF(B424=IFERROR(INDEX(設定!$B$18:$F$18,MATCH(入力!$B$4,設定!$A$23:$A$27,0)),""),1,0))</f>
        <v/>
      </c>
    </row>
    <row r="425" customFormat="false" ht="15" hidden="false" customHeight="false" outlineLevel="0" collapsed="false">
      <c r="A425" s="12" t="n">
        <v>417</v>
      </c>
      <c r="B425" s="13"/>
      <c r="C425" s="12" t="str">
        <f aca="false">IF(B425="","",IF(B425=IFERROR(INDEX(設定!$B$18:$F$18,MATCH(入力!$B$4,設定!$A$23:$A$27,0)),""),1,0))</f>
        <v/>
      </c>
    </row>
    <row r="426" customFormat="false" ht="15" hidden="false" customHeight="false" outlineLevel="0" collapsed="false">
      <c r="A426" s="12" t="n">
        <v>418</v>
      </c>
      <c r="B426" s="13"/>
      <c r="C426" s="12" t="str">
        <f aca="false">IF(B426="","",IF(B426=IFERROR(INDEX(設定!$B$18:$F$18,MATCH(入力!$B$4,設定!$A$23:$A$27,0)),""),1,0))</f>
        <v/>
      </c>
    </row>
    <row r="427" customFormat="false" ht="15" hidden="false" customHeight="false" outlineLevel="0" collapsed="false">
      <c r="A427" s="12" t="n">
        <v>419</v>
      </c>
      <c r="B427" s="13"/>
      <c r="C427" s="12" t="str">
        <f aca="false">IF(B427="","",IF(B427=IFERROR(INDEX(設定!$B$18:$F$18,MATCH(入力!$B$4,設定!$A$23:$A$27,0)),""),1,0))</f>
        <v/>
      </c>
    </row>
    <row r="428" customFormat="false" ht="15" hidden="false" customHeight="false" outlineLevel="0" collapsed="false">
      <c r="A428" s="12" t="n">
        <v>420</v>
      </c>
      <c r="B428" s="13"/>
      <c r="C428" s="12" t="str">
        <f aca="false">IF(B428="","",IF(B428=IFERROR(INDEX(設定!$B$18:$F$18,MATCH(入力!$B$4,設定!$A$23:$A$27,0)),""),1,0))</f>
        <v/>
      </c>
    </row>
    <row r="429" customFormat="false" ht="15" hidden="false" customHeight="false" outlineLevel="0" collapsed="false">
      <c r="A429" s="12" t="n">
        <v>421</v>
      </c>
      <c r="B429" s="13"/>
      <c r="C429" s="12" t="str">
        <f aca="false">IF(B429="","",IF(B429=IFERROR(INDEX(設定!$B$18:$F$18,MATCH(入力!$B$4,設定!$A$23:$A$27,0)),""),1,0))</f>
        <v/>
      </c>
    </row>
    <row r="430" customFormat="false" ht="15" hidden="false" customHeight="false" outlineLevel="0" collapsed="false">
      <c r="A430" s="12" t="n">
        <v>422</v>
      </c>
      <c r="B430" s="13"/>
      <c r="C430" s="12" t="str">
        <f aca="false">IF(B430="","",IF(B430=IFERROR(INDEX(設定!$B$18:$F$18,MATCH(入力!$B$4,設定!$A$23:$A$27,0)),""),1,0))</f>
        <v/>
      </c>
    </row>
    <row r="431" customFormat="false" ht="15" hidden="false" customHeight="false" outlineLevel="0" collapsed="false">
      <c r="A431" s="12" t="n">
        <v>423</v>
      </c>
      <c r="B431" s="13"/>
      <c r="C431" s="12" t="str">
        <f aca="false">IF(B431="","",IF(B431=IFERROR(INDEX(設定!$B$18:$F$18,MATCH(入力!$B$4,設定!$A$23:$A$27,0)),""),1,0))</f>
        <v/>
      </c>
    </row>
    <row r="432" customFormat="false" ht="15" hidden="false" customHeight="false" outlineLevel="0" collapsed="false">
      <c r="A432" s="12" t="n">
        <v>424</v>
      </c>
      <c r="B432" s="13"/>
      <c r="C432" s="12" t="str">
        <f aca="false">IF(B432="","",IF(B432=IFERROR(INDEX(設定!$B$18:$F$18,MATCH(入力!$B$4,設定!$A$23:$A$27,0)),""),1,0))</f>
        <v/>
      </c>
    </row>
    <row r="433" customFormat="false" ht="15" hidden="false" customHeight="false" outlineLevel="0" collapsed="false">
      <c r="A433" s="12" t="n">
        <v>425</v>
      </c>
      <c r="B433" s="13"/>
      <c r="C433" s="12" t="str">
        <f aca="false">IF(B433="","",IF(B433=IFERROR(INDEX(設定!$B$18:$F$18,MATCH(入力!$B$4,設定!$A$23:$A$27,0)),""),1,0))</f>
        <v/>
      </c>
    </row>
    <row r="434" customFormat="false" ht="15" hidden="false" customHeight="false" outlineLevel="0" collapsed="false">
      <c r="A434" s="12" t="n">
        <v>426</v>
      </c>
      <c r="B434" s="13"/>
      <c r="C434" s="12" t="str">
        <f aca="false">IF(B434="","",IF(B434=IFERROR(INDEX(設定!$B$18:$F$18,MATCH(入力!$B$4,設定!$A$23:$A$27,0)),""),1,0))</f>
        <v/>
      </c>
    </row>
    <row r="435" customFormat="false" ht="15" hidden="false" customHeight="false" outlineLevel="0" collapsed="false">
      <c r="A435" s="12" t="n">
        <v>427</v>
      </c>
      <c r="B435" s="13"/>
      <c r="C435" s="12" t="str">
        <f aca="false">IF(B435="","",IF(B435=IFERROR(INDEX(設定!$B$18:$F$18,MATCH(入力!$B$4,設定!$A$23:$A$27,0)),""),1,0))</f>
        <v/>
      </c>
    </row>
    <row r="436" customFormat="false" ht="15" hidden="false" customHeight="false" outlineLevel="0" collapsed="false">
      <c r="A436" s="12" t="n">
        <v>428</v>
      </c>
      <c r="B436" s="13"/>
      <c r="C436" s="12" t="str">
        <f aca="false">IF(B436="","",IF(B436=IFERROR(INDEX(設定!$B$18:$F$18,MATCH(入力!$B$4,設定!$A$23:$A$27,0)),""),1,0))</f>
        <v/>
      </c>
    </row>
    <row r="437" customFormat="false" ht="15" hidden="false" customHeight="false" outlineLevel="0" collapsed="false">
      <c r="A437" s="12" t="n">
        <v>429</v>
      </c>
      <c r="B437" s="13"/>
      <c r="C437" s="12" t="str">
        <f aca="false">IF(B437="","",IF(B437=IFERROR(INDEX(設定!$B$18:$F$18,MATCH(入力!$B$4,設定!$A$23:$A$27,0)),""),1,0))</f>
        <v/>
      </c>
    </row>
    <row r="438" customFormat="false" ht="15" hidden="false" customHeight="false" outlineLevel="0" collapsed="false">
      <c r="A438" s="12" t="n">
        <v>430</v>
      </c>
      <c r="B438" s="13"/>
      <c r="C438" s="12" t="str">
        <f aca="false">IF(B438="","",IF(B438=IFERROR(INDEX(設定!$B$18:$F$18,MATCH(入力!$B$4,設定!$A$23:$A$27,0)),""),1,0))</f>
        <v/>
      </c>
    </row>
    <row r="439" customFormat="false" ht="15" hidden="false" customHeight="false" outlineLevel="0" collapsed="false">
      <c r="A439" s="12" t="n">
        <v>431</v>
      </c>
      <c r="B439" s="13"/>
      <c r="C439" s="12" t="str">
        <f aca="false">IF(B439="","",IF(B439=IFERROR(INDEX(設定!$B$18:$F$18,MATCH(入力!$B$4,設定!$A$23:$A$27,0)),""),1,0))</f>
        <v/>
      </c>
    </row>
    <row r="440" customFormat="false" ht="15" hidden="false" customHeight="false" outlineLevel="0" collapsed="false">
      <c r="A440" s="12" t="n">
        <v>432</v>
      </c>
      <c r="B440" s="13"/>
      <c r="C440" s="12" t="str">
        <f aca="false">IF(B440="","",IF(B440=IFERROR(INDEX(設定!$B$18:$F$18,MATCH(入力!$B$4,設定!$A$23:$A$27,0)),""),1,0))</f>
        <v/>
      </c>
    </row>
    <row r="441" customFormat="false" ht="15" hidden="false" customHeight="false" outlineLevel="0" collapsed="false">
      <c r="A441" s="12" t="n">
        <v>433</v>
      </c>
      <c r="B441" s="13"/>
      <c r="C441" s="12" t="str">
        <f aca="false">IF(B441="","",IF(B441=IFERROR(INDEX(設定!$B$18:$F$18,MATCH(入力!$B$4,設定!$A$23:$A$27,0)),""),1,0))</f>
        <v/>
      </c>
    </row>
    <row r="442" customFormat="false" ht="15" hidden="false" customHeight="false" outlineLevel="0" collapsed="false">
      <c r="A442" s="12" t="n">
        <v>434</v>
      </c>
      <c r="B442" s="13"/>
      <c r="C442" s="12" t="str">
        <f aca="false">IF(B442="","",IF(B442=IFERROR(INDEX(設定!$B$18:$F$18,MATCH(入力!$B$4,設定!$A$23:$A$27,0)),""),1,0))</f>
        <v/>
      </c>
    </row>
    <row r="443" customFormat="false" ht="15" hidden="false" customHeight="false" outlineLevel="0" collapsed="false">
      <c r="A443" s="12" t="n">
        <v>435</v>
      </c>
      <c r="B443" s="13"/>
      <c r="C443" s="12" t="str">
        <f aca="false">IF(B443="","",IF(B443=IFERROR(INDEX(設定!$B$18:$F$18,MATCH(入力!$B$4,設定!$A$23:$A$27,0)),""),1,0))</f>
        <v/>
      </c>
    </row>
    <row r="444" customFormat="false" ht="15" hidden="false" customHeight="false" outlineLevel="0" collapsed="false">
      <c r="A444" s="12" t="n">
        <v>436</v>
      </c>
      <c r="B444" s="13"/>
      <c r="C444" s="12" t="str">
        <f aca="false">IF(B444="","",IF(B444=IFERROR(INDEX(設定!$B$18:$F$18,MATCH(入力!$B$4,設定!$A$23:$A$27,0)),""),1,0))</f>
        <v/>
      </c>
    </row>
    <row r="445" customFormat="false" ht="15" hidden="false" customHeight="false" outlineLevel="0" collapsed="false">
      <c r="A445" s="12" t="n">
        <v>437</v>
      </c>
      <c r="B445" s="13"/>
      <c r="C445" s="12" t="str">
        <f aca="false">IF(B445="","",IF(B445=IFERROR(INDEX(設定!$B$18:$F$18,MATCH(入力!$B$4,設定!$A$23:$A$27,0)),""),1,0))</f>
        <v/>
      </c>
    </row>
    <row r="446" customFormat="false" ht="15" hidden="false" customHeight="false" outlineLevel="0" collapsed="false">
      <c r="A446" s="12" t="n">
        <v>438</v>
      </c>
      <c r="B446" s="13"/>
      <c r="C446" s="12" t="str">
        <f aca="false">IF(B446="","",IF(B446=IFERROR(INDEX(設定!$B$18:$F$18,MATCH(入力!$B$4,設定!$A$23:$A$27,0)),""),1,0))</f>
        <v/>
      </c>
    </row>
    <row r="447" customFormat="false" ht="15" hidden="false" customHeight="false" outlineLevel="0" collapsed="false">
      <c r="A447" s="12" t="n">
        <v>439</v>
      </c>
      <c r="B447" s="13"/>
      <c r="C447" s="12" t="str">
        <f aca="false">IF(B447="","",IF(B447=IFERROR(INDEX(設定!$B$18:$F$18,MATCH(入力!$B$4,設定!$A$23:$A$27,0)),""),1,0))</f>
        <v/>
      </c>
    </row>
    <row r="448" customFormat="false" ht="15" hidden="false" customHeight="false" outlineLevel="0" collapsed="false">
      <c r="A448" s="12" t="n">
        <v>440</v>
      </c>
      <c r="B448" s="13"/>
      <c r="C448" s="12" t="str">
        <f aca="false">IF(B448="","",IF(B448=IFERROR(INDEX(設定!$B$18:$F$18,MATCH(入力!$B$4,設定!$A$23:$A$27,0)),""),1,0))</f>
        <v/>
      </c>
    </row>
    <row r="449" customFormat="false" ht="15" hidden="false" customHeight="false" outlineLevel="0" collapsed="false">
      <c r="A449" s="12" t="n">
        <v>441</v>
      </c>
      <c r="B449" s="13"/>
      <c r="C449" s="12" t="str">
        <f aca="false">IF(B449="","",IF(B449=IFERROR(INDEX(設定!$B$18:$F$18,MATCH(入力!$B$4,設定!$A$23:$A$27,0)),""),1,0))</f>
        <v/>
      </c>
    </row>
    <row r="450" customFormat="false" ht="15" hidden="false" customHeight="false" outlineLevel="0" collapsed="false">
      <c r="A450" s="12" t="n">
        <v>442</v>
      </c>
      <c r="B450" s="13"/>
      <c r="C450" s="12" t="str">
        <f aca="false">IF(B450="","",IF(B450=IFERROR(INDEX(設定!$B$18:$F$18,MATCH(入力!$B$4,設定!$A$23:$A$27,0)),""),1,0))</f>
        <v/>
      </c>
    </row>
    <row r="451" customFormat="false" ht="15" hidden="false" customHeight="false" outlineLevel="0" collapsed="false">
      <c r="A451" s="12" t="n">
        <v>443</v>
      </c>
      <c r="B451" s="13"/>
      <c r="C451" s="12" t="str">
        <f aca="false">IF(B451="","",IF(B451=IFERROR(INDEX(設定!$B$18:$F$18,MATCH(入力!$B$4,設定!$A$23:$A$27,0)),""),1,0))</f>
        <v/>
      </c>
    </row>
    <row r="452" customFormat="false" ht="15" hidden="false" customHeight="false" outlineLevel="0" collapsed="false">
      <c r="A452" s="12" t="n">
        <v>444</v>
      </c>
      <c r="B452" s="13"/>
      <c r="C452" s="12" t="str">
        <f aca="false">IF(B452="","",IF(B452=IFERROR(INDEX(設定!$B$18:$F$18,MATCH(入力!$B$4,設定!$A$23:$A$27,0)),""),1,0))</f>
        <v/>
      </c>
    </row>
    <row r="453" customFormat="false" ht="15" hidden="false" customHeight="false" outlineLevel="0" collapsed="false">
      <c r="A453" s="12" t="n">
        <v>445</v>
      </c>
      <c r="B453" s="13"/>
      <c r="C453" s="12" t="str">
        <f aca="false">IF(B453="","",IF(B453=IFERROR(INDEX(設定!$B$18:$F$18,MATCH(入力!$B$4,設定!$A$23:$A$27,0)),""),1,0))</f>
        <v/>
      </c>
    </row>
    <row r="454" customFormat="false" ht="15" hidden="false" customHeight="false" outlineLevel="0" collapsed="false">
      <c r="A454" s="12" t="n">
        <v>446</v>
      </c>
      <c r="B454" s="13"/>
      <c r="C454" s="12" t="str">
        <f aca="false">IF(B454="","",IF(B454=IFERROR(INDEX(設定!$B$18:$F$18,MATCH(入力!$B$4,設定!$A$23:$A$27,0)),""),1,0))</f>
        <v/>
      </c>
    </row>
    <row r="455" customFormat="false" ht="15" hidden="false" customHeight="false" outlineLevel="0" collapsed="false">
      <c r="A455" s="12" t="n">
        <v>447</v>
      </c>
      <c r="B455" s="13"/>
      <c r="C455" s="12" t="str">
        <f aca="false">IF(B455="","",IF(B455=IFERROR(INDEX(設定!$B$18:$F$18,MATCH(入力!$B$4,設定!$A$23:$A$27,0)),""),1,0))</f>
        <v/>
      </c>
    </row>
    <row r="456" customFormat="false" ht="15" hidden="false" customHeight="false" outlineLevel="0" collapsed="false">
      <c r="A456" s="12" t="n">
        <v>448</v>
      </c>
      <c r="B456" s="13"/>
      <c r="C456" s="12" t="str">
        <f aca="false">IF(B456="","",IF(B456=IFERROR(INDEX(設定!$B$18:$F$18,MATCH(入力!$B$4,設定!$A$23:$A$27,0)),""),1,0))</f>
        <v/>
      </c>
    </row>
    <row r="457" customFormat="false" ht="15" hidden="false" customHeight="false" outlineLevel="0" collapsed="false">
      <c r="A457" s="12" t="n">
        <v>449</v>
      </c>
      <c r="B457" s="13"/>
      <c r="C457" s="12" t="str">
        <f aca="false">IF(B457="","",IF(B457=IFERROR(INDEX(設定!$B$18:$F$18,MATCH(入力!$B$4,設定!$A$23:$A$27,0)),""),1,0))</f>
        <v/>
      </c>
    </row>
    <row r="458" customFormat="false" ht="15" hidden="false" customHeight="false" outlineLevel="0" collapsed="false">
      <c r="A458" s="12" t="n">
        <v>450</v>
      </c>
      <c r="B458" s="13"/>
      <c r="C458" s="12" t="str">
        <f aca="false">IF(B458="","",IF(B458=IFERROR(INDEX(設定!$B$18:$F$18,MATCH(入力!$B$4,設定!$A$23:$A$27,0)),""),1,0))</f>
        <v/>
      </c>
    </row>
    <row r="459" customFormat="false" ht="15" hidden="false" customHeight="false" outlineLevel="0" collapsed="false">
      <c r="A459" s="12" t="n">
        <v>451</v>
      </c>
      <c r="B459" s="13"/>
      <c r="C459" s="12" t="str">
        <f aca="false">IF(B459="","",IF(B459=IFERROR(INDEX(設定!$B$18:$F$18,MATCH(入力!$B$4,設定!$A$23:$A$27,0)),""),1,0))</f>
        <v/>
      </c>
    </row>
    <row r="460" customFormat="false" ht="15" hidden="false" customHeight="false" outlineLevel="0" collapsed="false">
      <c r="A460" s="12" t="n">
        <v>452</v>
      </c>
      <c r="B460" s="13"/>
      <c r="C460" s="12" t="str">
        <f aca="false">IF(B460="","",IF(B460=IFERROR(INDEX(設定!$B$18:$F$18,MATCH(入力!$B$4,設定!$A$23:$A$27,0)),""),1,0))</f>
        <v/>
      </c>
    </row>
    <row r="461" customFormat="false" ht="15" hidden="false" customHeight="false" outlineLevel="0" collapsed="false">
      <c r="A461" s="12" t="n">
        <v>453</v>
      </c>
      <c r="B461" s="13"/>
      <c r="C461" s="12" t="str">
        <f aca="false">IF(B461="","",IF(B461=IFERROR(INDEX(設定!$B$18:$F$18,MATCH(入力!$B$4,設定!$A$23:$A$27,0)),""),1,0))</f>
        <v/>
      </c>
    </row>
    <row r="462" customFormat="false" ht="15" hidden="false" customHeight="false" outlineLevel="0" collapsed="false">
      <c r="A462" s="12" t="n">
        <v>454</v>
      </c>
      <c r="B462" s="13"/>
      <c r="C462" s="12" t="str">
        <f aca="false">IF(B462="","",IF(B462=IFERROR(INDEX(設定!$B$18:$F$18,MATCH(入力!$B$4,設定!$A$23:$A$27,0)),""),1,0))</f>
        <v/>
      </c>
    </row>
    <row r="463" customFormat="false" ht="15" hidden="false" customHeight="false" outlineLevel="0" collapsed="false">
      <c r="A463" s="12" t="n">
        <v>455</v>
      </c>
      <c r="B463" s="13"/>
      <c r="C463" s="12" t="str">
        <f aca="false">IF(B463="","",IF(B463=IFERROR(INDEX(設定!$B$18:$F$18,MATCH(入力!$B$4,設定!$A$23:$A$27,0)),""),1,0))</f>
        <v/>
      </c>
    </row>
    <row r="464" customFormat="false" ht="15" hidden="false" customHeight="false" outlineLevel="0" collapsed="false">
      <c r="A464" s="12" t="n">
        <v>456</v>
      </c>
      <c r="B464" s="13"/>
      <c r="C464" s="12" t="str">
        <f aca="false">IF(B464="","",IF(B464=IFERROR(INDEX(設定!$B$18:$F$18,MATCH(入力!$B$4,設定!$A$23:$A$27,0)),""),1,0))</f>
        <v/>
      </c>
    </row>
    <row r="465" customFormat="false" ht="15" hidden="false" customHeight="false" outlineLevel="0" collapsed="false">
      <c r="A465" s="12" t="n">
        <v>457</v>
      </c>
      <c r="B465" s="13"/>
      <c r="C465" s="12" t="str">
        <f aca="false">IF(B465="","",IF(B465=IFERROR(INDEX(設定!$B$18:$F$18,MATCH(入力!$B$4,設定!$A$23:$A$27,0)),""),1,0))</f>
        <v/>
      </c>
    </row>
    <row r="466" customFormat="false" ht="15" hidden="false" customHeight="false" outlineLevel="0" collapsed="false">
      <c r="A466" s="12" t="n">
        <v>458</v>
      </c>
      <c r="B466" s="13"/>
      <c r="C466" s="12" t="str">
        <f aca="false">IF(B466="","",IF(B466=IFERROR(INDEX(設定!$B$18:$F$18,MATCH(入力!$B$4,設定!$A$23:$A$27,0)),""),1,0))</f>
        <v/>
      </c>
    </row>
    <row r="467" customFormat="false" ht="15" hidden="false" customHeight="false" outlineLevel="0" collapsed="false">
      <c r="A467" s="12" t="n">
        <v>459</v>
      </c>
      <c r="B467" s="13"/>
      <c r="C467" s="12" t="str">
        <f aca="false">IF(B467="","",IF(B467=IFERROR(INDEX(設定!$B$18:$F$18,MATCH(入力!$B$4,設定!$A$23:$A$27,0)),""),1,0))</f>
        <v/>
      </c>
    </row>
    <row r="468" customFormat="false" ht="15" hidden="false" customHeight="false" outlineLevel="0" collapsed="false">
      <c r="A468" s="12" t="n">
        <v>460</v>
      </c>
      <c r="B468" s="13"/>
      <c r="C468" s="12" t="str">
        <f aca="false">IF(B468="","",IF(B468=IFERROR(INDEX(設定!$B$18:$F$18,MATCH(入力!$B$4,設定!$A$23:$A$27,0)),""),1,0))</f>
        <v/>
      </c>
    </row>
    <row r="469" customFormat="false" ht="15" hidden="false" customHeight="false" outlineLevel="0" collapsed="false">
      <c r="A469" s="12" t="n">
        <v>461</v>
      </c>
      <c r="B469" s="13"/>
      <c r="C469" s="12" t="str">
        <f aca="false">IF(B469="","",IF(B469=IFERROR(INDEX(設定!$B$18:$F$18,MATCH(入力!$B$4,設定!$A$23:$A$27,0)),""),1,0))</f>
        <v/>
      </c>
    </row>
    <row r="470" customFormat="false" ht="15" hidden="false" customHeight="false" outlineLevel="0" collapsed="false">
      <c r="A470" s="12" t="n">
        <v>462</v>
      </c>
      <c r="B470" s="13"/>
      <c r="C470" s="12" t="str">
        <f aca="false">IF(B470="","",IF(B470=IFERROR(INDEX(設定!$B$18:$F$18,MATCH(入力!$B$4,設定!$A$23:$A$27,0)),""),1,0))</f>
        <v/>
      </c>
    </row>
    <row r="471" customFormat="false" ht="15" hidden="false" customHeight="false" outlineLevel="0" collapsed="false">
      <c r="A471" s="12" t="n">
        <v>463</v>
      </c>
      <c r="B471" s="13"/>
      <c r="C471" s="12" t="str">
        <f aca="false">IF(B471="","",IF(B471=IFERROR(INDEX(設定!$B$18:$F$18,MATCH(入力!$B$4,設定!$A$23:$A$27,0)),""),1,0))</f>
        <v/>
      </c>
    </row>
    <row r="472" customFormat="false" ht="15" hidden="false" customHeight="false" outlineLevel="0" collapsed="false">
      <c r="A472" s="12" t="n">
        <v>464</v>
      </c>
      <c r="B472" s="13"/>
      <c r="C472" s="12" t="str">
        <f aca="false">IF(B472="","",IF(B472=IFERROR(INDEX(設定!$B$18:$F$18,MATCH(入力!$B$4,設定!$A$23:$A$27,0)),""),1,0))</f>
        <v/>
      </c>
    </row>
    <row r="473" customFormat="false" ht="15" hidden="false" customHeight="false" outlineLevel="0" collapsed="false">
      <c r="A473" s="12" t="n">
        <v>465</v>
      </c>
      <c r="B473" s="13"/>
      <c r="C473" s="12" t="str">
        <f aca="false">IF(B473="","",IF(B473=IFERROR(INDEX(設定!$B$18:$F$18,MATCH(入力!$B$4,設定!$A$23:$A$27,0)),""),1,0))</f>
        <v/>
      </c>
    </row>
    <row r="474" customFormat="false" ht="15" hidden="false" customHeight="false" outlineLevel="0" collapsed="false">
      <c r="A474" s="12" t="n">
        <v>466</v>
      </c>
      <c r="B474" s="13"/>
      <c r="C474" s="12" t="str">
        <f aca="false">IF(B474="","",IF(B474=IFERROR(INDEX(設定!$B$18:$F$18,MATCH(入力!$B$4,設定!$A$23:$A$27,0)),""),1,0))</f>
        <v/>
      </c>
    </row>
    <row r="475" customFormat="false" ht="15" hidden="false" customHeight="false" outlineLevel="0" collapsed="false">
      <c r="A475" s="12" t="n">
        <v>467</v>
      </c>
      <c r="B475" s="13"/>
      <c r="C475" s="12" t="str">
        <f aca="false">IF(B475="","",IF(B475=IFERROR(INDEX(設定!$B$18:$F$18,MATCH(入力!$B$4,設定!$A$23:$A$27,0)),""),1,0))</f>
        <v/>
      </c>
    </row>
    <row r="476" customFormat="false" ht="15" hidden="false" customHeight="false" outlineLevel="0" collapsed="false">
      <c r="A476" s="12" t="n">
        <v>468</v>
      </c>
      <c r="B476" s="13"/>
      <c r="C476" s="12" t="str">
        <f aca="false">IF(B476="","",IF(B476=IFERROR(INDEX(設定!$B$18:$F$18,MATCH(入力!$B$4,設定!$A$23:$A$27,0)),""),1,0))</f>
        <v/>
      </c>
    </row>
    <row r="477" customFormat="false" ht="15" hidden="false" customHeight="false" outlineLevel="0" collapsed="false">
      <c r="A477" s="12" t="n">
        <v>469</v>
      </c>
      <c r="B477" s="13"/>
      <c r="C477" s="12" t="str">
        <f aca="false">IF(B477="","",IF(B477=IFERROR(INDEX(設定!$B$18:$F$18,MATCH(入力!$B$4,設定!$A$23:$A$27,0)),""),1,0))</f>
        <v/>
      </c>
    </row>
    <row r="478" customFormat="false" ht="15" hidden="false" customHeight="false" outlineLevel="0" collapsed="false">
      <c r="A478" s="12" t="n">
        <v>470</v>
      </c>
      <c r="B478" s="13"/>
      <c r="C478" s="12" t="str">
        <f aca="false">IF(B478="","",IF(B478=IFERROR(INDEX(設定!$B$18:$F$18,MATCH(入力!$B$4,設定!$A$23:$A$27,0)),""),1,0))</f>
        <v/>
      </c>
    </row>
    <row r="479" customFormat="false" ht="15" hidden="false" customHeight="false" outlineLevel="0" collapsed="false">
      <c r="A479" s="12" t="n">
        <v>471</v>
      </c>
      <c r="B479" s="13"/>
      <c r="C479" s="12" t="str">
        <f aca="false">IF(B479="","",IF(B479=IFERROR(INDEX(設定!$B$18:$F$18,MATCH(入力!$B$4,設定!$A$23:$A$27,0)),""),1,0))</f>
        <v/>
      </c>
    </row>
    <row r="480" customFormat="false" ht="15" hidden="false" customHeight="false" outlineLevel="0" collapsed="false">
      <c r="A480" s="12" t="n">
        <v>472</v>
      </c>
      <c r="B480" s="13"/>
      <c r="C480" s="12" t="str">
        <f aca="false">IF(B480="","",IF(B480=IFERROR(INDEX(設定!$B$18:$F$18,MATCH(入力!$B$4,設定!$A$23:$A$27,0)),""),1,0))</f>
        <v/>
      </c>
    </row>
    <row r="481" customFormat="false" ht="15" hidden="false" customHeight="false" outlineLevel="0" collapsed="false">
      <c r="A481" s="12" t="n">
        <v>473</v>
      </c>
      <c r="B481" s="13"/>
      <c r="C481" s="12" t="str">
        <f aca="false">IF(B481="","",IF(B481=IFERROR(INDEX(設定!$B$18:$F$18,MATCH(入力!$B$4,設定!$A$23:$A$27,0)),""),1,0))</f>
        <v/>
      </c>
    </row>
    <row r="482" customFormat="false" ht="15" hidden="false" customHeight="false" outlineLevel="0" collapsed="false">
      <c r="A482" s="12" t="n">
        <v>474</v>
      </c>
      <c r="B482" s="13"/>
      <c r="C482" s="12" t="str">
        <f aca="false">IF(B482="","",IF(B482=IFERROR(INDEX(設定!$B$18:$F$18,MATCH(入力!$B$4,設定!$A$23:$A$27,0)),""),1,0))</f>
        <v/>
      </c>
    </row>
    <row r="483" customFormat="false" ht="15" hidden="false" customHeight="false" outlineLevel="0" collapsed="false">
      <c r="A483" s="12" t="n">
        <v>475</v>
      </c>
      <c r="B483" s="13"/>
      <c r="C483" s="12" t="str">
        <f aca="false">IF(B483="","",IF(B483=IFERROR(INDEX(設定!$B$18:$F$18,MATCH(入力!$B$4,設定!$A$23:$A$27,0)),""),1,0))</f>
        <v/>
      </c>
    </row>
    <row r="484" customFormat="false" ht="15" hidden="false" customHeight="false" outlineLevel="0" collapsed="false">
      <c r="A484" s="12" t="n">
        <v>476</v>
      </c>
      <c r="B484" s="13"/>
      <c r="C484" s="12" t="str">
        <f aca="false">IF(B484="","",IF(B484=IFERROR(INDEX(設定!$B$18:$F$18,MATCH(入力!$B$4,設定!$A$23:$A$27,0)),""),1,0))</f>
        <v/>
      </c>
    </row>
    <row r="485" customFormat="false" ht="15" hidden="false" customHeight="false" outlineLevel="0" collapsed="false">
      <c r="A485" s="12" t="n">
        <v>477</v>
      </c>
      <c r="B485" s="13"/>
      <c r="C485" s="12" t="str">
        <f aca="false">IF(B485="","",IF(B485=IFERROR(INDEX(設定!$B$18:$F$18,MATCH(入力!$B$4,設定!$A$23:$A$27,0)),""),1,0))</f>
        <v/>
      </c>
    </row>
    <row r="486" customFormat="false" ht="15" hidden="false" customHeight="false" outlineLevel="0" collapsed="false">
      <c r="A486" s="12" t="n">
        <v>478</v>
      </c>
      <c r="B486" s="13"/>
      <c r="C486" s="12" t="str">
        <f aca="false">IF(B486="","",IF(B486=IFERROR(INDEX(設定!$B$18:$F$18,MATCH(入力!$B$4,設定!$A$23:$A$27,0)),""),1,0))</f>
        <v/>
      </c>
    </row>
    <row r="487" customFormat="false" ht="15" hidden="false" customHeight="false" outlineLevel="0" collapsed="false">
      <c r="A487" s="12" t="n">
        <v>479</v>
      </c>
      <c r="B487" s="13"/>
      <c r="C487" s="12" t="str">
        <f aca="false">IF(B487="","",IF(B487=IFERROR(INDEX(設定!$B$18:$F$18,MATCH(入力!$B$4,設定!$A$23:$A$27,0)),""),1,0))</f>
        <v/>
      </c>
    </row>
    <row r="488" customFormat="false" ht="15" hidden="false" customHeight="false" outlineLevel="0" collapsed="false">
      <c r="A488" s="12" t="n">
        <v>480</v>
      </c>
      <c r="B488" s="13"/>
      <c r="C488" s="12" t="str">
        <f aca="false">IF(B488="","",IF(B488=IFERROR(INDEX(設定!$B$18:$F$18,MATCH(入力!$B$4,設定!$A$23:$A$27,0)),""),1,0))</f>
        <v/>
      </c>
    </row>
    <row r="489" customFormat="false" ht="15" hidden="false" customHeight="false" outlineLevel="0" collapsed="false">
      <c r="A489" s="12" t="n">
        <v>481</v>
      </c>
      <c r="B489" s="13"/>
      <c r="C489" s="12" t="str">
        <f aca="false">IF(B489="","",IF(B489=IFERROR(INDEX(設定!$B$18:$F$18,MATCH(入力!$B$4,設定!$A$23:$A$27,0)),""),1,0))</f>
        <v/>
      </c>
    </row>
    <row r="490" customFormat="false" ht="15" hidden="false" customHeight="false" outlineLevel="0" collapsed="false">
      <c r="A490" s="12" t="n">
        <v>482</v>
      </c>
      <c r="B490" s="13"/>
      <c r="C490" s="12" t="str">
        <f aca="false">IF(B490="","",IF(B490=IFERROR(INDEX(設定!$B$18:$F$18,MATCH(入力!$B$4,設定!$A$23:$A$27,0)),""),1,0))</f>
        <v/>
      </c>
    </row>
    <row r="491" customFormat="false" ht="15" hidden="false" customHeight="false" outlineLevel="0" collapsed="false">
      <c r="A491" s="12" t="n">
        <v>483</v>
      </c>
      <c r="B491" s="13"/>
      <c r="C491" s="12" t="str">
        <f aca="false">IF(B491="","",IF(B491=IFERROR(INDEX(設定!$B$18:$F$18,MATCH(入力!$B$4,設定!$A$23:$A$27,0)),""),1,0))</f>
        <v/>
      </c>
    </row>
    <row r="492" customFormat="false" ht="15" hidden="false" customHeight="false" outlineLevel="0" collapsed="false">
      <c r="A492" s="12" t="n">
        <v>484</v>
      </c>
      <c r="B492" s="13"/>
      <c r="C492" s="12" t="str">
        <f aca="false">IF(B492="","",IF(B492=IFERROR(INDEX(設定!$B$18:$F$18,MATCH(入力!$B$4,設定!$A$23:$A$27,0)),""),1,0))</f>
        <v/>
      </c>
    </row>
    <row r="493" customFormat="false" ht="15" hidden="false" customHeight="false" outlineLevel="0" collapsed="false">
      <c r="A493" s="12" t="n">
        <v>485</v>
      </c>
      <c r="B493" s="13"/>
      <c r="C493" s="12" t="str">
        <f aca="false">IF(B493="","",IF(B493=IFERROR(INDEX(設定!$B$18:$F$18,MATCH(入力!$B$4,設定!$A$23:$A$27,0)),""),1,0))</f>
        <v/>
      </c>
    </row>
    <row r="494" customFormat="false" ht="15" hidden="false" customHeight="false" outlineLevel="0" collapsed="false">
      <c r="A494" s="12" t="n">
        <v>486</v>
      </c>
      <c r="B494" s="13"/>
      <c r="C494" s="12" t="str">
        <f aca="false">IF(B494="","",IF(B494=IFERROR(INDEX(設定!$B$18:$F$18,MATCH(入力!$B$4,設定!$A$23:$A$27,0)),""),1,0))</f>
        <v/>
      </c>
    </row>
    <row r="495" customFormat="false" ht="15" hidden="false" customHeight="false" outlineLevel="0" collapsed="false">
      <c r="A495" s="12" t="n">
        <v>487</v>
      </c>
      <c r="B495" s="13"/>
      <c r="C495" s="12" t="str">
        <f aca="false">IF(B495="","",IF(B495=IFERROR(INDEX(設定!$B$18:$F$18,MATCH(入力!$B$4,設定!$A$23:$A$27,0)),""),1,0))</f>
        <v/>
      </c>
    </row>
    <row r="496" customFormat="false" ht="15" hidden="false" customHeight="false" outlineLevel="0" collapsed="false">
      <c r="A496" s="12" t="n">
        <v>488</v>
      </c>
      <c r="B496" s="13"/>
      <c r="C496" s="12" t="str">
        <f aca="false">IF(B496="","",IF(B496=IFERROR(INDEX(設定!$B$18:$F$18,MATCH(入力!$B$4,設定!$A$23:$A$27,0)),""),1,0))</f>
        <v/>
      </c>
    </row>
    <row r="497" customFormat="false" ht="15" hidden="false" customHeight="false" outlineLevel="0" collapsed="false">
      <c r="A497" s="12" t="n">
        <v>489</v>
      </c>
      <c r="B497" s="13"/>
      <c r="C497" s="12" t="str">
        <f aca="false">IF(B497="","",IF(B497=IFERROR(INDEX(設定!$B$18:$F$18,MATCH(入力!$B$4,設定!$A$23:$A$27,0)),""),1,0))</f>
        <v/>
      </c>
    </row>
    <row r="498" customFormat="false" ht="15" hidden="false" customHeight="false" outlineLevel="0" collapsed="false">
      <c r="A498" s="12" t="n">
        <v>490</v>
      </c>
      <c r="B498" s="13"/>
      <c r="C498" s="12" t="str">
        <f aca="false">IF(B498="","",IF(B498=IFERROR(INDEX(設定!$B$18:$F$18,MATCH(入力!$B$4,設定!$A$23:$A$27,0)),""),1,0))</f>
        <v/>
      </c>
    </row>
    <row r="499" customFormat="false" ht="15" hidden="false" customHeight="false" outlineLevel="0" collapsed="false">
      <c r="A499" s="12" t="n">
        <v>491</v>
      </c>
      <c r="B499" s="13"/>
      <c r="C499" s="12" t="str">
        <f aca="false">IF(B499="","",IF(B499=IFERROR(INDEX(設定!$B$18:$F$18,MATCH(入力!$B$4,設定!$A$23:$A$27,0)),""),1,0))</f>
        <v/>
      </c>
    </row>
    <row r="500" customFormat="false" ht="15" hidden="false" customHeight="false" outlineLevel="0" collapsed="false">
      <c r="A500" s="12" t="n">
        <v>492</v>
      </c>
      <c r="B500" s="13"/>
      <c r="C500" s="12" t="str">
        <f aca="false">IF(B500="","",IF(B500=IFERROR(INDEX(設定!$B$18:$F$18,MATCH(入力!$B$4,設定!$A$23:$A$27,0)),""),1,0))</f>
        <v/>
      </c>
    </row>
    <row r="501" customFormat="false" ht="15" hidden="false" customHeight="false" outlineLevel="0" collapsed="false">
      <c r="A501" s="12" t="n">
        <v>493</v>
      </c>
      <c r="B501" s="13"/>
      <c r="C501" s="12" t="str">
        <f aca="false">IF(B501="","",IF(B501=IFERROR(INDEX(設定!$B$18:$F$18,MATCH(入力!$B$4,設定!$A$23:$A$27,0)),""),1,0))</f>
        <v/>
      </c>
    </row>
    <row r="502" customFormat="false" ht="15" hidden="false" customHeight="false" outlineLevel="0" collapsed="false">
      <c r="A502" s="12" t="n">
        <v>494</v>
      </c>
      <c r="B502" s="13"/>
      <c r="C502" s="12" t="str">
        <f aca="false">IF(B502="","",IF(B502=IFERROR(INDEX(設定!$B$18:$F$18,MATCH(入力!$B$4,設定!$A$23:$A$27,0)),""),1,0))</f>
        <v/>
      </c>
    </row>
    <row r="503" customFormat="false" ht="15" hidden="false" customHeight="false" outlineLevel="0" collapsed="false">
      <c r="A503" s="12" t="n">
        <v>495</v>
      </c>
      <c r="B503" s="13"/>
      <c r="C503" s="12" t="str">
        <f aca="false">IF(B503="","",IF(B503=IFERROR(INDEX(設定!$B$18:$F$18,MATCH(入力!$B$4,設定!$A$23:$A$27,0)),""),1,0))</f>
        <v/>
      </c>
    </row>
    <row r="504" customFormat="false" ht="15" hidden="false" customHeight="false" outlineLevel="0" collapsed="false">
      <c r="A504" s="12" t="n">
        <v>496</v>
      </c>
      <c r="B504" s="13"/>
      <c r="C504" s="12" t="str">
        <f aca="false">IF(B504="","",IF(B504=IFERROR(INDEX(設定!$B$18:$F$18,MATCH(入力!$B$4,設定!$A$23:$A$27,0)),""),1,0))</f>
        <v/>
      </c>
    </row>
    <row r="505" customFormat="false" ht="15" hidden="false" customHeight="false" outlineLevel="0" collapsed="false">
      <c r="A505" s="12" t="n">
        <v>497</v>
      </c>
      <c r="B505" s="13"/>
      <c r="C505" s="12" t="str">
        <f aca="false">IF(B505="","",IF(B505=IFERROR(INDEX(設定!$B$18:$F$18,MATCH(入力!$B$4,設定!$A$23:$A$27,0)),""),1,0))</f>
        <v/>
      </c>
    </row>
    <row r="506" customFormat="false" ht="15" hidden="false" customHeight="false" outlineLevel="0" collapsed="false">
      <c r="A506" s="12" t="n">
        <v>498</v>
      </c>
      <c r="B506" s="13"/>
      <c r="C506" s="12" t="str">
        <f aca="false">IF(B506="","",IF(B506=IFERROR(INDEX(設定!$B$18:$F$18,MATCH(入力!$B$4,設定!$A$23:$A$27,0)),""),1,0))</f>
        <v/>
      </c>
    </row>
    <row r="507" customFormat="false" ht="15" hidden="false" customHeight="false" outlineLevel="0" collapsed="false">
      <c r="A507" s="12" t="n">
        <v>499</v>
      </c>
      <c r="B507" s="13"/>
      <c r="C507" s="12" t="str">
        <f aca="false">IF(B507="","",IF(B507=IFERROR(INDEX(設定!$B$18:$F$18,MATCH(入力!$B$4,設定!$A$23:$A$27,0)),""),1,0))</f>
        <v/>
      </c>
    </row>
    <row r="508" customFormat="false" ht="15" hidden="false" customHeight="false" outlineLevel="0" collapsed="false">
      <c r="A508" s="12" t="n">
        <v>500</v>
      </c>
      <c r="B508" s="13"/>
      <c r="C508" s="12" t="str">
        <f aca="false">IF(B508="","",IF(B508=IFERROR(INDEX(設定!$B$18:$F$18,MATCH(入力!$B$4,設定!$A$23:$A$27,0)),""),1,0))</f>
        <v/>
      </c>
    </row>
    <row r="509" customFormat="false" ht="15" hidden="false" customHeight="false" outlineLevel="0" collapsed="false">
      <c r="A509" s="12" t="n">
        <v>501</v>
      </c>
      <c r="B509" s="13"/>
      <c r="C509" s="12" t="str">
        <f aca="false">IF(B509="","",IF(B509=IFERROR(INDEX(設定!$B$18:$F$18,MATCH(入力!$B$4,設定!$A$23:$A$27,0)),""),1,0))</f>
        <v/>
      </c>
    </row>
    <row r="510" customFormat="false" ht="15" hidden="false" customHeight="false" outlineLevel="0" collapsed="false">
      <c r="A510" s="12" t="n">
        <v>502</v>
      </c>
      <c r="B510" s="13"/>
      <c r="C510" s="12" t="str">
        <f aca="false">IF(B510="","",IF(B510=IFERROR(INDEX(設定!$B$18:$F$18,MATCH(入力!$B$4,設定!$A$23:$A$27,0)),""),1,0))</f>
        <v/>
      </c>
    </row>
    <row r="511" customFormat="false" ht="15" hidden="false" customHeight="false" outlineLevel="0" collapsed="false">
      <c r="A511" s="12" t="n">
        <v>503</v>
      </c>
      <c r="B511" s="13"/>
      <c r="C511" s="12" t="str">
        <f aca="false">IF(B511="","",IF(B511=IFERROR(INDEX(設定!$B$18:$F$18,MATCH(入力!$B$4,設定!$A$23:$A$27,0)),""),1,0))</f>
        <v/>
      </c>
    </row>
    <row r="512" customFormat="false" ht="15" hidden="false" customHeight="false" outlineLevel="0" collapsed="false">
      <c r="A512" s="12" t="n">
        <v>504</v>
      </c>
      <c r="B512" s="13"/>
      <c r="C512" s="12" t="str">
        <f aca="false">IF(B512="","",IF(B512=IFERROR(INDEX(設定!$B$18:$F$18,MATCH(入力!$B$4,設定!$A$23:$A$27,0)),""),1,0))</f>
        <v/>
      </c>
    </row>
    <row r="513" customFormat="false" ht="15" hidden="false" customHeight="false" outlineLevel="0" collapsed="false">
      <c r="A513" s="12" t="n">
        <v>505</v>
      </c>
      <c r="B513" s="13"/>
      <c r="C513" s="12" t="str">
        <f aca="false">IF(B513="","",IF(B513=IFERROR(INDEX(設定!$B$18:$F$18,MATCH(入力!$B$4,設定!$A$23:$A$27,0)),""),1,0))</f>
        <v/>
      </c>
    </row>
    <row r="514" customFormat="false" ht="15" hidden="false" customHeight="false" outlineLevel="0" collapsed="false">
      <c r="A514" s="12" t="n">
        <v>506</v>
      </c>
      <c r="B514" s="13"/>
      <c r="C514" s="12" t="str">
        <f aca="false">IF(B514="","",IF(B514=IFERROR(INDEX(設定!$B$18:$F$18,MATCH(入力!$B$4,設定!$A$23:$A$27,0)),""),1,0))</f>
        <v/>
      </c>
    </row>
    <row r="515" customFormat="false" ht="15" hidden="false" customHeight="false" outlineLevel="0" collapsed="false">
      <c r="A515" s="12" t="n">
        <v>507</v>
      </c>
      <c r="B515" s="13"/>
      <c r="C515" s="12" t="str">
        <f aca="false">IF(B515="","",IF(B515=IFERROR(INDEX(設定!$B$18:$F$18,MATCH(入力!$B$4,設定!$A$23:$A$27,0)),""),1,0))</f>
        <v/>
      </c>
    </row>
    <row r="516" customFormat="false" ht="15" hidden="false" customHeight="false" outlineLevel="0" collapsed="false">
      <c r="A516" s="12" t="n">
        <v>508</v>
      </c>
      <c r="B516" s="13"/>
      <c r="C516" s="12" t="str">
        <f aca="false">IF(B516="","",IF(B516=IFERROR(INDEX(設定!$B$18:$F$18,MATCH(入力!$B$4,設定!$A$23:$A$27,0)),""),1,0))</f>
        <v/>
      </c>
    </row>
    <row r="517" customFormat="false" ht="15" hidden="false" customHeight="false" outlineLevel="0" collapsed="false">
      <c r="A517" s="12" t="n">
        <v>509</v>
      </c>
      <c r="B517" s="13"/>
      <c r="C517" s="12" t="str">
        <f aca="false">IF(B517="","",IF(B517=IFERROR(INDEX(設定!$B$18:$F$18,MATCH(入力!$B$4,設定!$A$23:$A$27,0)),""),1,0))</f>
        <v/>
      </c>
    </row>
    <row r="518" customFormat="false" ht="15" hidden="false" customHeight="false" outlineLevel="0" collapsed="false">
      <c r="A518" s="12" t="n">
        <v>510</v>
      </c>
      <c r="B518" s="13"/>
      <c r="C518" s="12" t="str">
        <f aca="false">IF(B518="","",IF(B518=IFERROR(INDEX(設定!$B$18:$F$18,MATCH(入力!$B$4,設定!$A$23:$A$27,0)),""),1,0))</f>
        <v/>
      </c>
    </row>
    <row r="519" customFormat="false" ht="15" hidden="false" customHeight="false" outlineLevel="0" collapsed="false">
      <c r="A519" s="12" t="n">
        <v>511</v>
      </c>
      <c r="B519" s="13"/>
      <c r="C519" s="12" t="str">
        <f aca="false">IF(B519="","",IF(B519=IFERROR(INDEX(設定!$B$18:$F$18,MATCH(入力!$B$4,設定!$A$23:$A$27,0)),""),1,0))</f>
        <v/>
      </c>
    </row>
    <row r="520" customFormat="false" ht="15" hidden="false" customHeight="false" outlineLevel="0" collapsed="false">
      <c r="A520" s="12" t="n">
        <v>512</v>
      </c>
      <c r="B520" s="13"/>
      <c r="C520" s="12" t="str">
        <f aca="false">IF(B520="","",IF(B520=IFERROR(INDEX(設定!$B$18:$F$18,MATCH(入力!$B$4,設定!$A$23:$A$27,0)),""),1,0))</f>
        <v/>
      </c>
    </row>
    <row r="521" customFormat="false" ht="15" hidden="false" customHeight="false" outlineLevel="0" collapsed="false">
      <c r="A521" s="12" t="n">
        <v>513</v>
      </c>
      <c r="B521" s="13"/>
      <c r="C521" s="12" t="str">
        <f aca="false">IF(B521="","",IF(B521=IFERROR(INDEX(設定!$B$18:$F$18,MATCH(入力!$B$4,設定!$A$23:$A$27,0)),""),1,0))</f>
        <v/>
      </c>
    </row>
    <row r="522" customFormat="false" ht="15" hidden="false" customHeight="false" outlineLevel="0" collapsed="false">
      <c r="A522" s="12" t="n">
        <v>514</v>
      </c>
      <c r="B522" s="13"/>
      <c r="C522" s="12" t="str">
        <f aca="false">IF(B522="","",IF(B522=IFERROR(INDEX(設定!$B$18:$F$18,MATCH(入力!$B$4,設定!$A$23:$A$27,0)),""),1,0))</f>
        <v/>
      </c>
    </row>
    <row r="523" customFormat="false" ht="15" hidden="false" customHeight="false" outlineLevel="0" collapsed="false">
      <c r="A523" s="12" t="n">
        <v>515</v>
      </c>
      <c r="B523" s="13"/>
      <c r="C523" s="12" t="str">
        <f aca="false">IF(B523="","",IF(B523=IFERROR(INDEX(設定!$B$18:$F$18,MATCH(入力!$B$4,設定!$A$23:$A$27,0)),""),1,0))</f>
        <v/>
      </c>
    </row>
    <row r="524" customFormat="false" ht="15" hidden="false" customHeight="false" outlineLevel="0" collapsed="false">
      <c r="A524" s="12" t="n">
        <v>516</v>
      </c>
      <c r="B524" s="13"/>
      <c r="C524" s="12" t="str">
        <f aca="false">IF(B524="","",IF(B524=IFERROR(INDEX(設定!$B$18:$F$18,MATCH(入力!$B$4,設定!$A$23:$A$27,0)),""),1,0))</f>
        <v/>
      </c>
    </row>
    <row r="525" customFormat="false" ht="15" hidden="false" customHeight="false" outlineLevel="0" collapsed="false">
      <c r="A525" s="12" t="n">
        <v>517</v>
      </c>
      <c r="B525" s="13"/>
      <c r="C525" s="12" t="str">
        <f aca="false">IF(B525="","",IF(B525=IFERROR(INDEX(設定!$B$18:$F$18,MATCH(入力!$B$4,設定!$A$23:$A$27,0)),""),1,0))</f>
        <v/>
      </c>
    </row>
    <row r="526" customFormat="false" ht="15" hidden="false" customHeight="false" outlineLevel="0" collapsed="false">
      <c r="A526" s="12" t="n">
        <v>518</v>
      </c>
      <c r="B526" s="13"/>
      <c r="C526" s="12" t="str">
        <f aca="false">IF(B526="","",IF(B526=IFERROR(INDEX(設定!$B$18:$F$18,MATCH(入力!$B$4,設定!$A$23:$A$27,0)),""),1,0))</f>
        <v/>
      </c>
    </row>
    <row r="527" customFormat="false" ht="15" hidden="false" customHeight="false" outlineLevel="0" collapsed="false">
      <c r="A527" s="12" t="n">
        <v>519</v>
      </c>
      <c r="B527" s="13"/>
      <c r="C527" s="12" t="str">
        <f aca="false">IF(B527="","",IF(B527=IFERROR(INDEX(設定!$B$18:$F$18,MATCH(入力!$B$4,設定!$A$23:$A$27,0)),""),1,0))</f>
        <v/>
      </c>
    </row>
    <row r="528" customFormat="false" ht="15" hidden="false" customHeight="false" outlineLevel="0" collapsed="false">
      <c r="A528" s="12" t="n">
        <v>520</v>
      </c>
      <c r="B528" s="13"/>
      <c r="C528" s="12" t="str">
        <f aca="false">IF(B528="","",IF(B528=IFERROR(INDEX(設定!$B$18:$F$18,MATCH(入力!$B$4,設定!$A$23:$A$27,0)),""),1,0))</f>
        <v/>
      </c>
    </row>
    <row r="529" customFormat="false" ht="15" hidden="false" customHeight="false" outlineLevel="0" collapsed="false">
      <c r="A529" s="12" t="n">
        <v>521</v>
      </c>
      <c r="B529" s="13"/>
      <c r="C529" s="12" t="str">
        <f aca="false">IF(B529="","",IF(B529=IFERROR(INDEX(設定!$B$18:$F$18,MATCH(入力!$B$4,設定!$A$23:$A$27,0)),""),1,0))</f>
        <v/>
      </c>
    </row>
    <row r="530" customFormat="false" ht="15" hidden="false" customHeight="false" outlineLevel="0" collapsed="false">
      <c r="A530" s="12" t="n">
        <v>522</v>
      </c>
      <c r="B530" s="13"/>
      <c r="C530" s="12" t="str">
        <f aca="false">IF(B530="","",IF(B530=IFERROR(INDEX(設定!$B$18:$F$18,MATCH(入力!$B$4,設定!$A$23:$A$27,0)),""),1,0))</f>
        <v/>
      </c>
    </row>
    <row r="531" customFormat="false" ht="15" hidden="false" customHeight="false" outlineLevel="0" collapsed="false">
      <c r="A531" s="12" t="n">
        <v>523</v>
      </c>
      <c r="B531" s="13"/>
      <c r="C531" s="12" t="str">
        <f aca="false">IF(B531="","",IF(B531=IFERROR(INDEX(設定!$B$18:$F$18,MATCH(入力!$B$4,設定!$A$23:$A$27,0)),""),1,0))</f>
        <v/>
      </c>
    </row>
    <row r="532" customFormat="false" ht="15" hidden="false" customHeight="false" outlineLevel="0" collapsed="false">
      <c r="A532" s="12" t="n">
        <v>524</v>
      </c>
      <c r="B532" s="13"/>
      <c r="C532" s="12" t="str">
        <f aca="false">IF(B532="","",IF(B532=IFERROR(INDEX(設定!$B$18:$F$18,MATCH(入力!$B$4,設定!$A$23:$A$27,0)),""),1,0))</f>
        <v/>
      </c>
    </row>
    <row r="533" customFormat="false" ht="15" hidden="false" customHeight="false" outlineLevel="0" collapsed="false">
      <c r="A533" s="12" t="n">
        <v>525</v>
      </c>
      <c r="B533" s="13"/>
      <c r="C533" s="12" t="str">
        <f aca="false">IF(B533="","",IF(B533=IFERROR(INDEX(設定!$B$18:$F$18,MATCH(入力!$B$4,設定!$A$23:$A$27,0)),""),1,0))</f>
        <v/>
      </c>
    </row>
    <row r="534" customFormat="false" ht="15" hidden="false" customHeight="false" outlineLevel="0" collapsed="false">
      <c r="A534" s="12" t="n">
        <v>526</v>
      </c>
      <c r="B534" s="13"/>
      <c r="C534" s="12" t="str">
        <f aca="false">IF(B534="","",IF(B534=IFERROR(INDEX(設定!$B$18:$F$18,MATCH(入力!$B$4,設定!$A$23:$A$27,0)),""),1,0))</f>
        <v/>
      </c>
    </row>
    <row r="535" customFormat="false" ht="15" hidden="false" customHeight="false" outlineLevel="0" collapsed="false">
      <c r="A535" s="12" t="n">
        <v>527</v>
      </c>
      <c r="B535" s="13"/>
      <c r="C535" s="12" t="str">
        <f aca="false">IF(B535="","",IF(B535=IFERROR(INDEX(設定!$B$18:$F$18,MATCH(入力!$B$4,設定!$A$23:$A$27,0)),""),1,0))</f>
        <v/>
      </c>
    </row>
    <row r="536" customFormat="false" ht="15" hidden="false" customHeight="false" outlineLevel="0" collapsed="false">
      <c r="A536" s="12" t="n">
        <v>528</v>
      </c>
      <c r="B536" s="13"/>
      <c r="C536" s="12" t="str">
        <f aca="false">IF(B536="","",IF(B536=IFERROR(INDEX(設定!$B$18:$F$18,MATCH(入力!$B$4,設定!$A$23:$A$27,0)),""),1,0))</f>
        <v/>
      </c>
    </row>
    <row r="537" customFormat="false" ht="15" hidden="false" customHeight="false" outlineLevel="0" collapsed="false">
      <c r="A537" s="12" t="n">
        <v>529</v>
      </c>
      <c r="B537" s="13"/>
      <c r="C537" s="12" t="str">
        <f aca="false">IF(B537="","",IF(B537=IFERROR(INDEX(設定!$B$18:$F$18,MATCH(入力!$B$4,設定!$A$23:$A$27,0)),""),1,0))</f>
        <v/>
      </c>
    </row>
    <row r="538" customFormat="false" ht="15" hidden="false" customHeight="false" outlineLevel="0" collapsed="false">
      <c r="A538" s="12" t="n">
        <v>530</v>
      </c>
      <c r="B538" s="13"/>
      <c r="C538" s="12" t="str">
        <f aca="false">IF(B538="","",IF(B538=IFERROR(INDEX(設定!$B$18:$F$18,MATCH(入力!$B$4,設定!$A$23:$A$27,0)),""),1,0))</f>
        <v/>
      </c>
    </row>
    <row r="539" customFormat="false" ht="15" hidden="false" customHeight="false" outlineLevel="0" collapsed="false">
      <c r="A539" s="12" t="n">
        <v>531</v>
      </c>
      <c r="B539" s="13"/>
      <c r="C539" s="12" t="str">
        <f aca="false">IF(B539="","",IF(B539=IFERROR(INDEX(設定!$B$18:$F$18,MATCH(入力!$B$4,設定!$A$23:$A$27,0)),""),1,0))</f>
        <v/>
      </c>
    </row>
    <row r="540" customFormat="false" ht="15" hidden="false" customHeight="false" outlineLevel="0" collapsed="false">
      <c r="A540" s="12" t="n">
        <v>532</v>
      </c>
      <c r="B540" s="13"/>
      <c r="C540" s="12" t="str">
        <f aca="false">IF(B540="","",IF(B540=IFERROR(INDEX(設定!$B$18:$F$18,MATCH(入力!$B$4,設定!$A$23:$A$27,0)),""),1,0))</f>
        <v/>
      </c>
    </row>
    <row r="541" customFormat="false" ht="15" hidden="false" customHeight="false" outlineLevel="0" collapsed="false">
      <c r="A541" s="12" t="n">
        <v>533</v>
      </c>
      <c r="B541" s="13"/>
      <c r="C541" s="12" t="str">
        <f aca="false">IF(B541="","",IF(B541=IFERROR(INDEX(設定!$B$18:$F$18,MATCH(入力!$B$4,設定!$A$23:$A$27,0)),""),1,0))</f>
        <v/>
      </c>
    </row>
    <row r="542" customFormat="false" ht="15" hidden="false" customHeight="false" outlineLevel="0" collapsed="false">
      <c r="A542" s="12" t="n">
        <v>534</v>
      </c>
      <c r="B542" s="13"/>
      <c r="C542" s="12" t="str">
        <f aca="false">IF(B542="","",IF(B542=IFERROR(INDEX(設定!$B$18:$F$18,MATCH(入力!$B$4,設定!$A$23:$A$27,0)),""),1,0))</f>
        <v/>
      </c>
    </row>
    <row r="543" customFormat="false" ht="15" hidden="false" customHeight="false" outlineLevel="0" collapsed="false">
      <c r="A543" s="12" t="n">
        <v>535</v>
      </c>
      <c r="B543" s="13"/>
      <c r="C543" s="12" t="str">
        <f aca="false">IF(B543="","",IF(B543=IFERROR(INDEX(設定!$B$18:$F$18,MATCH(入力!$B$4,設定!$A$23:$A$27,0)),""),1,0))</f>
        <v/>
      </c>
    </row>
    <row r="544" customFormat="false" ht="15" hidden="false" customHeight="false" outlineLevel="0" collapsed="false">
      <c r="A544" s="12" t="n">
        <v>536</v>
      </c>
      <c r="B544" s="13"/>
      <c r="C544" s="12" t="str">
        <f aca="false">IF(B544="","",IF(B544=IFERROR(INDEX(設定!$B$18:$F$18,MATCH(入力!$B$4,設定!$A$23:$A$27,0)),""),1,0))</f>
        <v/>
      </c>
    </row>
    <row r="545" customFormat="false" ht="15" hidden="false" customHeight="false" outlineLevel="0" collapsed="false">
      <c r="A545" s="12" t="n">
        <v>537</v>
      </c>
      <c r="B545" s="13"/>
      <c r="C545" s="12" t="str">
        <f aca="false">IF(B545="","",IF(B545=IFERROR(INDEX(設定!$B$18:$F$18,MATCH(入力!$B$4,設定!$A$23:$A$27,0)),""),1,0))</f>
        <v/>
      </c>
    </row>
    <row r="546" customFormat="false" ht="15" hidden="false" customHeight="false" outlineLevel="0" collapsed="false">
      <c r="A546" s="12" t="n">
        <v>538</v>
      </c>
      <c r="B546" s="13"/>
      <c r="C546" s="12" t="str">
        <f aca="false">IF(B546="","",IF(B546=IFERROR(INDEX(設定!$B$18:$F$18,MATCH(入力!$B$4,設定!$A$23:$A$27,0)),""),1,0))</f>
        <v/>
      </c>
    </row>
    <row r="547" customFormat="false" ht="15" hidden="false" customHeight="false" outlineLevel="0" collapsed="false">
      <c r="A547" s="12" t="n">
        <v>539</v>
      </c>
      <c r="B547" s="13"/>
      <c r="C547" s="12" t="str">
        <f aca="false">IF(B547="","",IF(B547=IFERROR(INDEX(設定!$B$18:$F$18,MATCH(入力!$B$4,設定!$A$23:$A$27,0)),""),1,0))</f>
        <v/>
      </c>
    </row>
    <row r="548" customFormat="false" ht="15" hidden="false" customHeight="false" outlineLevel="0" collapsed="false">
      <c r="A548" s="12" t="n">
        <v>540</v>
      </c>
      <c r="B548" s="13"/>
      <c r="C548" s="12" t="str">
        <f aca="false">IF(B548="","",IF(B548=IFERROR(INDEX(設定!$B$18:$F$18,MATCH(入力!$B$4,設定!$A$23:$A$27,0)),""),1,0))</f>
        <v/>
      </c>
    </row>
    <row r="549" customFormat="false" ht="15" hidden="false" customHeight="false" outlineLevel="0" collapsed="false">
      <c r="A549" s="12" t="n">
        <v>541</v>
      </c>
      <c r="B549" s="13"/>
      <c r="C549" s="12" t="str">
        <f aca="false">IF(B549="","",IF(B549=IFERROR(INDEX(設定!$B$18:$F$18,MATCH(入力!$B$4,設定!$A$23:$A$27,0)),""),1,0))</f>
        <v/>
      </c>
    </row>
    <row r="550" customFormat="false" ht="15" hidden="false" customHeight="false" outlineLevel="0" collapsed="false">
      <c r="A550" s="12" t="n">
        <v>542</v>
      </c>
      <c r="B550" s="13"/>
      <c r="C550" s="12" t="str">
        <f aca="false">IF(B550="","",IF(B550=IFERROR(INDEX(設定!$B$18:$F$18,MATCH(入力!$B$4,設定!$A$23:$A$27,0)),""),1,0))</f>
        <v/>
      </c>
    </row>
    <row r="551" customFormat="false" ht="15" hidden="false" customHeight="false" outlineLevel="0" collapsed="false">
      <c r="A551" s="12" t="n">
        <v>543</v>
      </c>
      <c r="B551" s="13"/>
      <c r="C551" s="12" t="str">
        <f aca="false">IF(B551="","",IF(B551=IFERROR(INDEX(設定!$B$18:$F$18,MATCH(入力!$B$4,設定!$A$23:$A$27,0)),""),1,0))</f>
        <v/>
      </c>
    </row>
    <row r="552" customFormat="false" ht="15" hidden="false" customHeight="false" outlineLevel="0" collapsed="false">
      <c r="A552" s="12" t="n">
        <v>544</v>
      </c>
      <c r="B552" s="13"/>
      <c r="C552" s="12" t="str">
        <f aca="false">IF(B552="","",IF(B552=IFERROR(INDEX(設定!$B$18:$F$18,MATCH(入力!$B$4,設定!$A$23:$A$27,0)),""),1,0))</f>
        <v/>
      </c>
    </row>
    <row r="553" customFormat="false" ht="15" hidden="false" customHeight="false" outlineLevel="0" collapsed="false">
      <c r="A553" s="12" t="n">
        <v>545</v>
      </c>
      <c r="B553" s="13"/>
      <c r="C553" s="12" t="str">
        <f aca="false">IF(B553="","",IF(B553=IFERROR(INDEX(設定!$B$18:$F$18,MATCH(入力!$B$4,設定!$A$23:$A$27,0)),""),1,0))</f>
        <v/>
      </c>
    </row>
    <row r="554" customFormat="false" ht="15" hidden="false" customHeight="false" outlineLevel="0" collapsed="false">
      <c r="A554" s="12" t="n">
        <v>546</v>
      </c>
      <c r="B554" s="13"/>
      <c r="C554" s="12" t="str">
        <f aca="false">IF(B554="","",IF(B554=IFERROR(INDEX(設定!$B$18:$F$18,MATCH(入力!$B$4,設定!$A$23:$A$27,0)),""),1,0))</f>
        <v/>
      </c>
    </row>
    <row r="555" customFormat="false" ht="15" hidden="false" customHeight="false" outlineLevel="0" collapsed="false">
      <c r="A555" s="12" t="n">
        <v>547</v>
      </c>
      <c r="B555" s="13"/>
      <c r="C555" s="12" t="str">
        <f aca="false">IF(B555="","",IF(B555=IFERROR(INDEX(設定!$B$18:$F$18,MATCH(入力!$B$4,設定!$A$23:$A$27,0)),""),1,0))</f>
        <v/>
      </c>
    </row>
    <row r="556" customFormat="false" ht="15" hidden="false" customHeight="false" outlineLevel="0" collapsed="false">
      <c r="A556" s="12" t="n">
        <v>548</v>
      </c>
      <c r="B556" s="13"/>
      <c r="C556" s="12" t="str">
        <f aca="false">IF(B556="","",IF(B556=IFERROR(INDEX(設定!$B$18:$F$18,MATCH(入力!$B$4,設定!$A$23:$A$27,0)),""),1,0))</f>
        <v/>
      </c>
    </row>
    <row r="557" customFormat="false" ht="15" hidden="false" customHeight="false" outlineLevel="0" collapsed="false">
      <c r="A557" s="12" t="n">
        <v>549</v>
      </c>
      <c r="B557" s="13"/>
      <c r="C557" s="12" t="str">
        <f aca="false">IF(B557="","",IF(B557=IFERROR(INDEX(設定!$B$18:$F$18,MATCH(入力!$B$4,設定!$A$23:$A$27,0)),""),1,0))</f>
        <v/>
      </c>
    </row>
    <row r="558" customFormat="false" ht="15" hidden="false" customHeight="false" outlineLevel="0" collapsed="false">
      <c r="A558" s="12" t="n">
        <v>550</v>
      </c>
      <c r="B558" s="13"/>
      <c r="C558" s="12" t="str">
        <f aca="false">IF(B558="","",IF(B558=IFERROR(INDEX(設定!$B$18:$F$18,MATCH(入力!$B$4,設定!$A$23:$A$27,0)),""),1,0))</f>
        <v/>
      </c>
    </row>
    <row r="559" customFormat="false" ht="15" hidden="false" customHeight="false" outlineLevel="0" collapsed="false">
      <c r="A559" s="12" t="n">
        <v>551</v>
      </c>
      <c r="B559" s="13"/>
      <c r="C559" s="12" t="str">
        <f aca="false">IF(B559="","",IF(B559=IFERROR(INDEX(設定!$B$18:$F$18,MATCH(入力!$B$4,設定!$A$23:$A$27,0)),""),1,0))</f>
        <v/>
      </c>
    </row>
    <row r="560" customFormat="false" ht="15" hidden="false" customHeight="false" outlineLevel="0" collapsed="false">
      <c r="A560" s="12" t="n">
        <v>552</v>
      </c>
      <c r="B560" s="13"/>
      <c r="C560" s="12" t="str">
        <f aca="false">IF(B560="","",IF(B560=IFERROR(INDEX(設定!$B$18:$F$18,MATCH(入力!$B$4,設定!$A$23:$A$27,0)),""),1,0))</f>
        <v/>
      </c>
    </row>
    <row r="561" customFormat="false" ht="15" hidden="false" customHeight="false" outlineLevel="0" collapsed="false">
      <c r="A561" s="12" t="n">
        <v>553</v>
      </c>
      <c r="B561" s="13"/>
      <c r="C561" s="12" t="str">
        <f aca="false">IF(B561="","",IF(B561=IFERROR(INDEX(設定!$B$18:$F$18,MATCH(入力!$B$4,設定!$A$23:$A$27,0)),""),1,0))</f>
        <v/>
      </c>
    </row>
    <row r="562" customFormat="false" ht="15" hidden="false" customHeight="false" outlineLevel="0" collapsed="false">
      <c r="A562" s="12" t="n">
        <v>554</v>
      </c>
      <c r="B562" s="13"/>
      <c r="C562" s="12" t="str">
        <f aca="false">IF(B562="","",IF(B562=IFERROR(INDEX(設定!$B$18:$F$18,MATCH(入力!$B$4,設定!$A$23:$A$27,0)),""),1,0))</f>
        <v/>
      </c>
    </row>
    <row r="563" customFormat="false" ht="15" hidden="false" customHeight="false" outlineLevel="0" collapsed="false">
      <c r="A563" s="12" t="n">
        <v>555</v>
      </c>
      <c r="B563" s="13"/>
      <c r="C563" s="12" t="str">
        <f aca="false">IF(B563="","",IF(B563=IFERROR(INDEX(設定!$B$18:$F$18,MATCH(入力!$B$4,設定!$A$23:$A$27,0)),""),1,0))</f>
        <v/>
      </c>
    </row>
    <row r="564" customFormat="false" ht="15" hidden="false" customHeight="false" outlineLevel="0" collapsed="false">
      <c r="A564" s="12" t="n">
        <v>556</v>
      </c>
      <c r="B564" s="13"/>
      <c r="C564" s="12" t="str">
        <f aca="false">IF(B564="","",IF(B564=IFERROR(INDEX(設定!$B$18:$F$18,MATCH(入力!$B$4,設定!$A$23:$A$27,0)),""),1,0))</f>
        <v/>
      </c>
    </row>
    <row r="565" customFormat="false" ht="15" hidden="false" customHeight="false" outlineLevel="0" collapsed="false">
      <c r="A565" s="12" t="n">
        <v>557</v>
      </c>
      <c r="B565" s="13"/>
      <c r="C565" s="12" t="str">
        <f aca="false">IF(B565="","",IF(B565=IFERROR(INDEX(設定!$B$18:$F$18,MATCH(入力!$B$4,設定!$A$23:$A$27,0)),""),1,0))</f>
        <v/>
      </c>
    </row>
    <row r="566" customFormat="false" ht="15" hidden="false" customHeight="false" outlineLevel="0" collapsed="false">
      <c r="A566" s="12" t="n">
        <v>558</v>
      </c>
      <c r="B566" s="13"/>
      <c r="C566" s="12" t="str">
        <f aca="false">IF(B566="","",IF(B566=IFERROR(INDEX(設定!$B$18:$F$18,MATCH(入力!$B$4,設定!$A$23:$A$27,0)),""),1,0))</f>
        <v/>
      </c>
    </row>
    <row r="567" customFormat="false" ht="15" hidden="false" customHeight="false" outlineLevel="0" collapsed="false">
      <c r="A567" s="12" t="n">
        <v>559</v>
      </c>
      <c r="B567" s="13"/>
      <c r="C567" s="12" t="str">
        <f aca="false">IF(B567="","",IF(B567=IFERROR(INDEX(設定!$B$18:$F$18,MATCH(入力!$B$4,設定!$A$23:$A$27,0)),""),1,0))</f>
        <v/>
      </c>
    </row>
    <row r="568" customFormat="false" ht="15" hidden="false" customHeight="false" outlineLevel="0" collapsed="false">
      <c r="A568" s="12" t="n">
        <v>560</v>
      </c>
      <c r="B568" s="13"/>
      <c r="C568" s="12" t="str">
        <f aca="false">IF(B568="","",IF(B568=IFERROR(INDEX(設定!$B$18:$F$18,MATCH(入力!$B$4,設定!$A$23:$A$27,0)),""),1,0))</f>
        <v/>
      </c>
    </row>
    <row r="569" customFormat="false" ht="15" hidden="false" customHeight="false" outlineLevel="0" collapsed="false">
      <c r="A569" s="12" t="n">
        <v>561</v>
      </c>
      <c r="B569" s="13"/>
      <c r="C569" s="12" t="str">
        <f aca="false">IF(B569="","",IF(B569=IFERROR(INDEX(設定!$B$18:$F$18,MATCH(入力!$B$4,設定!$A$23:$A$27,0)),""),1,0))</f>
        <v/>
      </c>
    </row>
    <row r="570" customFormat="false" ht="15" hidden="false" customHeight="false" outlineLevel="0" collapsed="false">
      <c r="A570" s="12" t="n">
        <v>562</v>
      </c>
      <c r="B570" s="13"/>
      <c r="C570" s="12" t="str">
        <f aca="false">IF(B570="","",IF(B570=IFERROR(INDEX(設定!$B$18:$F$18,MATCH(入力!$B$4,設定!$A$23:$A$27,0)),""),1,0))</f>
        <v/>
      </c>
    </row>
    <row r="571" customFormat="false" ht="15" hidden="false" customHeight="false" outlineLevel="0" collapsed="false">
      <c r="A571" s="12" t="n">
        <v>563</v>
      </c>
      <c r="B571" s="13"/>
      <c r="C571" s="12" t="str">
        <f aca="false">IF(B571="","",IF(B571=IFERROR(INDEX(設定!$B$18:$F$18,MATCH(入力!$B$4,設定!$A$23:$A$27,0)),""),1,0))</f>
        <v/>
      </c>
    </row>
    <row r="572" customFormat="false" ht="15" hidden="false" customHeight="false" outlineLevel="0" collapsed="false">
      <c r="A572" s="12" t="n">
        <v>564</v>
      </c>
      <c r="B572" s="13"/>
      <c r="C572" s="12" t="str">
        <f aca="false">IF(B572="","",IF(B572=IFERROR(INDEX(設定!$B$18:$F$18,MATCH(入力!$B$4,設定!$A$23:$A$27,0)),""),1,0))</f>
        <v/>
      </c>
    </row>
    <row r="573" customFormat="false" ht="15" hidden="false" customHeight="false" outlineLevel="0" collapsed="false">
      <c r="A573" s="12" t="n">
        <v>565</v>
      </c>
      <c r="B573" s="13"/>
      <c r="C573" s="12" t="str">
        <f aca="false">IF(B573="","",IF(B573=IFERROR(INDEX(設定!$B$18:$F$18,MATCH(入力!$B$4,設定!$A$23:$A$27,0)),""),1,0))</f>
        <v/>
      </c>
    </row>
    <row r="574" customFormat="false" ht="15" hidden="false" customHeight="false" outlineLevel="0" collapsed="false">
      <c r="A574" s="12" t="n">
        <v>566</v>
      </c>
      <c r="B574" s="13"/>
      <c r="C574" s="12" t="str">
        <f aca="false">IF(B574="","",IF(B574=IFERROR(INDEX(設定!$B$18:$F$18,MATCH(入力!$B$4,設定!$A$23:$A$27,0)),""),1,0))</f>
        <v/>
      </c>
    </row>
    <row r="575" customFormat="false" ht="15" hidden="false" customHeight="false" outlineLevel="0" collapsed="false">
      <c r="A575" s="12" t="n">
        <v>567</v>
      </c>
      <c r="B575" s="13"/>
      <c r="C575" s="12" t="str">
        <f aca="false">IF(B575="","",IF(B575=IFERROR(INDEX(設定!$B$18:$F$18,MATCH(入力!$B$4,設定!$A$23:$A$27,0)),""),1,0))</f>
        <v/>
      </c>
    </row>
    <row r="576" customFormat="false" ht="15" hidden="false" customHeight="false" outlineLevel="0" collapsed="false">
      <c r="A576" s="12" t="n">
        <v>568</v>
      </c>
      <c r="B576" s="13"/>
      <c r="C576" s="12" t="str">
        <f aca="false">IF(B576="","",IF(B576=IFERROR(INDEX(設定!$B$18:$F$18,MATCH(入力!$B$4,設定!$A$23:$A$27,0)),""),1,0))</f>
        <v/>
      </c>
    </row>
    <row r="577" customFormat="false" ht="15" hidden="false" customHeight="false" outlineLevel="0" collapsed="false">
      <c r="A577" s="12" t="n">
        <v>569</v>
      </c>
      <c r="B577" s="13"/>
      <c r="C577" s="12" t="str">
        <f aca="false">IF(B577="","",IF(B577=IFERROR(INDEX(設定!$B$18:$F$18,MATCH(入力!$B$4,設定!$A$23:$A$27,0)),""),1,0))</f>
        <v/>
      </c>
    </row>
    <row r="578" customFormat="false" ht="15" hidden="false" customHeight="false" outlineLevel="0" collapsed="false">
      <c r="A578" s="12" t="n">
        <v>570</v>
      </c>
      <c r="B578" s="13"/>
      <c r="C578" s="12" t="str">
        <f aca="false">IF(B578="","",IF(B578=IFERROR(INDEX(設定!$B$18:$F$18,MATCH(入力!$B$4,設定!$A$23:$A$27,0)),""),1,0))</f>
        <v/>
      </c>
    </row>
    <row r="579" customFormat="false" ht="15" hidden="false" customHeight="false" outlineLevel="0" collapsed="false">
      <c r="A579" s="12" t="n">
        <v>571</v>
      </c>
      <c r="B579" s="13"/>
      <c r="C579" s="12" t="str">
        <f aca="false">IF(B579="","",IF(B579=IFERROR(INDEX(設定!$B$18:$F$18,MATCH(入力!$B$4,設定!$A$23:$A$27,0)),""),1,0))</f>
        <v/>
      </c>
    </row>
    <row r="580" customFormat="false" ht="15" hidden="false" customHeight="false" outlineLevel="0" collapsed="false">
      <c r="A580" s="12" t="n">
        <v>572</v>
      </c>
      <c r="B580" s="13"/>
      <c r="C580" s="12" t="str">
        <f aca="false">IF(B580="","",IF(B580=IFERROR(INDEX(設定!$B$18:$F$18,MATCH(入力!$B$4,設定!$A$23:$A$27,0)),""),1,0))</f>
        <v/>
      </c>
    </row>
    <row r="581" customFormat="false" ht="15" hidden="false" customHeight="false" outlineLevel="0" collapsed="false">
      <c r="A581" s="12" t="n">
        <v>573</v>
      </c>
      <c r="B581" s="13"/>
      <c r="C581" s="12" t="str">
        <f aca="false">IF(B581="","",IF(B581=IFERROR(INDEX(設定!$B$18:$F$18,MATCH(入力!$B$4,設定!$A$23:$A$27,0)),""),1,0))</f>
        <v/>
      </c>
    </row>
    <row r="582" customFormat="false" ht="15" hidden="false" customHeight="false" outlineLevel="0" collapsed="false">
      <c r="A582" s="12" t="n">
        <v>574</v>
      </c>
      <c r="B582" s="13"/>
      <c r="C582" s="12" t="str">
        <f aca="false">IF(B582="","",IF(B582=IFERROR(INDEX(設定!$B$18:$F$18,MATCH(入力!$B$4,設定!$A$23:$A$27,0)),""),1,0))</f>
        <v/>
      </c>
    </row>
    <row r="583" customFormat="false" ht="15" hidden="false" customHeight="false" outlineLevel="0" collapsed="false">
      <c r="A583" s="12" t="n">
        <v>575</v>
      </c>
      <c r="B583" s="13"/>
      <c r="C583" s="12" t="str">
        <f aca="false">IF(B583="","",IF(B583=IFERROR(INDEX(設定!$B$18:$F$18,MATCH(入力!$B$4,設定!$A$23:$A$27,0)),""),1,0))</f>
        <v/>
      </c>
    </row>
    <row r="584" customFormat="false" ht="15" hidden="false" customHeight="false" outlineLevel="0" collapsed="false">
      <c r="A584" s="12" t="n">
        <v>576</v>
      </c>
      <c r="B584" s="13"/>
      <c r="C584" s="12" t="str">
        <f aca="false">IF(B584="","",IF(B584=IFERROR(INDEX(設定!$B$18:$F$18,MATCH(入力!$B$4,設定!$A$23:$A$27,0)),""),1,0))</f>
        <v/>
      </c>
    </row>
    <row r="585" customFormat="false" ht="15" hidden="false" customHeight="false" outlineLevel="0" collapsed="false">
      <c r="A585" s="12" t="n">
        <v>577</v>
      </c>
      <c r="B585" s="13"/>
      <c r="C585" s="12" t="str">
        <f aca="false">IF(B585="","",IF(B585=IFERROR(INDEX(設定!$B$18:$F$18,MATCH(入力!$B$4,設定!$A$23:$A$27,0)),""),1,0))</f>
        <v/>
      </c>
    </row>
    <row r="586" customFormat="false" ht="15" hidden="false" customHeight="false" outlineLevel="0" collapsed="false">
      <c r="A586" s="12" t="n">
        <v>578</v>
      </c>
      <c r="B586" s="13"/>
      <c r="C586" s="12" t="str">
        <f aca="false">IF(B586="","",IF(B586=IFERROR(INDEX(設定!$B$18:$F$18,MATCH(入力!$B$4,設定!$A$23:$A$27,0)),""),1,0))</f>
        <v/>
      </c>
    </row>
    <row r="587" customFormat="false" ht="15" hidden="false" customHeight="false" outlineLevel="0" collapsed="false">
      <c r="A587" s="12" t="n">
        <v>579</v>
      </c>
      <c r="B587" s="13"/>
      <c r="C587" s="12" t="str">
        <f aca="false">IF(B587="","",IF(B587=IFERROR(INDEX(設定!$B$18:$F$18,MATCH(入力!$B$4,設定!$A$23:$A$27,0)),""),1,0))</f>
        <v/>
      </c>
    </row>
    <row r="588" customFormat="false" ht="15" hidden="false" customHeight="false" outlineLevel="0" collapsed="false">
      <c r="A588" s="12" t="n">
        <v>580</v>
      </c>
      <c r="B588" s="13"/>
      <c r="C588" s="12" t="str">
        <f aca="false">IF(B588="","",IF(B588=IFERROR(INDEX(設定!$B$18:$F$18,MATCH(入力!$B$4,設定!$A$23:$A$27,0)),""),1,0))</f>
        <v/>
      </c>
    </row>
    <row r="589" customFormat="false" ht="15" hidden="false" customHeight="false" outlineLevel="0" collapsed="false">
      <c r="A589" s="12" t="n">
        <v>581</v>
      </c>
      <c r="B589" s="13"/>
      <c r="C589" s="12" t="str">
        <f aca="false">IF(B589="","",IF(B589=IFERROR(INDEX(設定!$B$18:$F$18,MATCH(入力!$B$4,設定!$A$23:$A$27,0)),""),1,0))</f>
        <v/>
      </c>
    </row>
    <row r="590" customFormat="false" ht="15" hidden="false" customHeight="false" outlineLevel="0" collapsed="false">
      <c r="A590" s="12" t="n">
        <v>582</v>
      </c>
      <c r="B590" s="13"/>
      <c r="C590" s="12" t="str">
        <f aca="false">IF(B590="","",IF(B590=IFERROR(INDEX(設定!$B$18:$F$18,MATCH(入力!$B$4,設定!$A$23:$A$27,0)),""),1,0))</f>
        <v/>
      </c>
    </row>
    <row r="591" customFormat="false" ht="15" hidden="false" customHeight="false" outlineLevel="0" collapsed="false">
      <c r="A591" s="12" t="n">
        <v>583</v>
      </c>
      <c r="B591" s="13"/>
      <c r="C591" s="12" t="str">
        <f aca="false">IF(B591="","",IF(B591=IFERROR(INDEX(設定!$B$18:$F$18,MATCH(入力!$B$4,設定!$A$23:$A$27,0)),""),1,0))</f>
        <v/>
      </c>
    </row>
    <row r="592" customFormat="false" ht="15" hidden="false" customHeight="false" outlineLevel="0" collapsed="false">
      <c r="A592" s="12" t="n">
        <v>584</v>
      </c>
      <c r="B592" s="13"/>
      <c r="C592" s="12" t="str">
        <f aca="false">IF(B592="","",IF(B592=IFERROR(INDEX(設定!$B$18:$F$18,MATCH(入力!$B$4,設定!$A$23:$A$27,0)),""),1,0))</f>
        <v/>
      </c>
    </row>
    <row r="593" customFormat="false" ht="15" hidden="false" customHeight="false" outlineLevel="0" collapsed="false">
      <c r="A593" s="12" t="n">
        <v>585</v>
      </c>
      <c r="B593" s="13"/>
      <c r="C593" s="12" t="str">
        <f aca="false">IF(B593="","",IF(B593=IFERROR(INDEX(設定!$B$18:$F$18,MATCH(入力!$B$4,設定!$A$23:$A$27,0)),""),1,0))</f>
        <v/>
      </c>
    </row>
    <row r="594" customFormat="false" ht="15" hidden="false" customHeight="false" outlineLevel="0" collapsed="false">
      <c r="A594" s="12" t="n">
        <v>586</v>
      </c>
      <c r="B594" s="13"/>
      <c r="C594" s="12" t="str">
        <f aca="false">IF(B594="","",IF(B594=IFERROR(INDEX(設定!$B$18:$F$18,MATCH(入力!$B$4,設定!$A$23:$A$27,0)),""),1,0))</f>
        <v/>
      </c>
    </row>
    <row r="595" customFormat="false" ht="15" hidden="false" customHeight="false" outlineLevel="0" collapsed="false">
      <c r="A595" s="12" t="n">
        <v>587</v>
      </c>
      <c r="B595" s="13"/>
      <c r="C595" s="12" t="str">
        <f aca="false">IF(B595="","",IF(B595=IFERROR(INDEX(設定!$B$18:$F$18,MATCH(入力!$B$4,設定!$A$23:$A$27,0)),""),1,0))</f>
        <v/>
      </c>
    </row>
    <row r="596" customFormat="false" ht="15" hidden="false" customHeight="false" outlineLevel="0" collapsed="false">
      <c r="A596" s="12" t="n">
        <v>588</v>
      </c>
      <c r="B596" s="13"/>
      <c r="C596" s="12" t="str">
        <f aca="false">IF(B596="","",IF(B596=IFERROR(INDEX(設定!$B$18:$F$18,MATCH(入力!$B$4,設定!$A$23:$A$27,0)),""),1,0))</f>
        <v/>
      </c>
    </row>
    <row r="597" customFormat="false" ht="15" hidden="false" customHeight="false" outlineLevel="0" collapsed="false">
      <c r="A597" s="12" t="n">
        <v>589</v>
      </c>
      <c r="B597" s="13"/>
      <c r="C597" s="12" t="str">
        <f aca="false">IF(B597="","",IF(B597=IFERROR(INDEX(設定!$B$18:$F$18,MATCH(入力!$B$4,設定!$A$23:$A$27,0)),""),1,0))</f>
        <v/>
      </c>
    </row>
    <row r="598" customFormat="false" ht="15" hidden="false" customHeight="false" outlineLevel="0" collapsed="false">
      <c r="A598" s="12" t="n">
        <v>590</v>
      </c>
      <c r="B598" s="13"/>
      <c r="C598" s="12" t="str">
        <f aca="false">IF(B598="","",IF(B598=IFERROR(INDEX(設定!$B$18:$F$18,MATCH(入力!$B$4,設定!$A$23:$A$27,0)),""),1,0))</f>
        <v/>
      </c>
    </row>
    <row r="599" customFormat="false" ht="15" hidden="false" customHeight="false" outlineLevel="0" collapsed="false">
      <c r="A599" s="12" t="n">
        <v>591</v>
      </c>
      <c r="B599" s="13"/>
      <c r="C599" s="12" t="str">
        <f aca="false">IF(B599="","",IF(B599=IFERROR(INDEX(設定!$B$18:$F$18,MATCH(入力!$B$4,設定!$A$23:$A$27,0)),""),1,0))</f>
        <v/>
      </c>
    </row>
    <row r="600" customFormat="false" ht="15" hidden="false" customHeight="false" outlineLevel="0" collapsed="false">
      <c r="A600" s="12" t="n">
        <v>592</v>
      </c>
      <c r="B600" s="13"/>
      <c r="C600" s="12" t="str">
        <f aca="false">IF(B600="","",IF(B600=IFERROR(INDEX(設定!$B$18:$F$18,MATCH(入力!$B$4,設定!$A$23:$A$27,0)),""),1,0))</f>
        <v/>
      </c>
    </row>
    <row r="601" customFormat="false" ht="15" hidden="false" customHeight="false" outlineLevel="0" collapsed="false">
      <c r="A601" s="12" t="n">
        <v>593</v>
      </c>
      <c r="B601" s="13"/>
      <c r="C601" s="12" t="str">
        <f aca="false">IF(B601="","",IF(B601=IFERROR(INDEX(設定!$B$18:$F$18,MATCH(入力!$B$4,設定!$A$23:$A$27,0)),""),1,0))</f>
        <v/>
      </c>
    </row>
    <row r="602" customFormat="false" ht="15" hidden="false" customHeight="false" outlineLevel="0" collapsed="false">
      <c r="A602" s="12" t="n">
        <v>594</v>
      </c>
      <c r="B602" s="13"/>
      <c r="C602" s="12" t="str">
        <f aca="false">IF(B602="","",IF(B602=IFERROR(INDEX(設定!$B$18:$F$18,MATCH(入力!$B$4,設定!$A$23:$A$27,0)),""),1,0))</f>
        <v/>
      </c>
    </row>
    <row r="603" customFormat="false" ht="15" hidden="false" customHeight="false" outlineLevel="0" collapsed="false">
      <c r="A603" s="12" t="n">
        <v>595</v>
      </c>
      <c r="B603" s="13"/>
      <c r="C603" s="12" t="str">
        <f aca="false">IF(B603="","",IF(B603=IFERROR(INDEX(設定!$B$18:$F$18,MATCH(入力!$B$4,設定!$A$23:$A$27,0)),""),1,0))</f>
        <v/>
      </c>
    </row>
    <row r="604" customFormat="false" ht="15" hidden="false" customHeight="false" outlineLevel="0" collapsed="false">
      <c r="A604" s="12" t="n">
        <v>596</v>
      </c>
      <c r="B604" s="13"/>
      <c r="C604" s="12" t="str">
        <f aca="false">IF(B604="","",IF(B604=IFERROR(INDEX(設定!$B$18:$F$18,MATCH(入力!$B$4,設定!$A$23:$A$27,0)),""),1,0))</f>
        <v/>
      </c>
    </row>
    <row r="605" customFormat="false" ht="15" hidden="false" customHeight="false" outlineLevel="0" collapsed="false">
      <c r="A605" s="12" t="n">
        <v>597</v>
      </c>
      <c r="B605" s="13"/>
      <c r="C605" s="12" t="str">
        <f aca="false">IF(B605="","",IF(B605=IFERROR(INDEX(設定!$B$18:$F$18,MATCH(入力!$B$4,設定!$A$23:$A$27,0)),""),1,0))</f>
        <v/>
      </c>
    </row>
    <row r="606" customFormat="false" ht="15" hidden="false" customHeight="false" outlineLevel="0" collapsed="false">
      <c r="A606" s="12" t="n">
        <v>598</v>
      </c>
      <c r="B606" s="13"/>
      <c r="C606" s="12" t="str">
        <f aca="false">IF(B606="","",IF(B606=IFERROR(INDEX(設定!$B$18:$F$18,MATCH(入力!$B$4,設定!$A$23:$A$27,0)),""),1,0))</f>
        <v/>
      </c>
    </row>
    <row r="607" customFormat="false" ht="15" hidden="false" customHeight="false" outlineLevel="0" collapsed="false">
      <c r="A607" s="12" t="n">
        <v>599</v>
      </c>
      <c r="B607" s="13"/>
      <c r="C607" s="12" t="str">
        <f aca="false">IF(B607="","",IF(B607=IFERROR(INDEX(設定!$B$18:$F$18,MATCH(入力!$B$4,設定!$A$23:$A$27,0)),""),1,0))</f>
        <v/>
      </c>
    </row>
    <row r="608" customFormat="false" ht="15" hidden="false" customHeight="false" outlineLevel="0" collapsed="false">
      <c r="A608" s="12" t="n">
        <v>600</v>
      </c>
      <c r="B608" s="13"/>
      <c r="C608" s="12" t="str">
        <f aca="false">IF(B608="","",IF(B608=IFERROR(INDEX(設定!$B$18:$F$18,MATCH(入力!$B$4,設定!$A$23:$A$27,0)),""),1,0))</f>
        <v/>
      </c>
    </row>
    <row r="609" customFormat="false" ht="15" hidden="false" customHeight="false" outlineLevel="0" collapsed="false">
      <c r="A609" s="12" t="n">
        <v>601</v>
      </c>
      <c r="B609" s="13"/>
      <c r="C609" s="12" t="str">
        <f aca="false">IF(B609="","",IF(B609=IFERROR(INDEX(設定!$B$18:$F$18,MATCH(入力!$B$4,設定!$A$23:$A$27,0)),""),1,0))</f>
        <v/>
      </c>
    </row>
    <row r="610" customFormat="false" ht="15" hidden="false" customHeight="false" outlineLevel="0" collapsed="false">
      <c r="A610" s="12" t="n">
        <v>602</v>
      </c>
      <c r="B610" s="13"/>
      <c r="C610" s="12" t="str">
        <f aca="false">IF(B610="","",IF(B610=IFERROR(INDEX(設定!$B$18:$F$18,MATCH(入力!$B$4,設定!$A$23:$A$27,0)),""),1,0))</f>
        <v/>
      </c>
    </row>
    <row r="611" customFormat="false" ht="15" hidden="false" customHeight="false" outlineLevel="0" collapsed="false">
      <c r="A611" s="12" t="n">
        <v>603</v>
      </c>
      <c r="B611" s="13"/>
      <c r="C611" s="12" t="str">
        <f aca="false">IF(B611="","",IF(B611=IFERROR(INDEX(設定!$B$18:$F$18,MATCH(入力!$B$4,設定!$A$23:$A$27,0)),""),1,0))</f>
        <v/>
      </c>
    </row>
    <row r="612" customFormat="false" ht="15" hidden="false" customHeight="false" outlineLevel="0" collapsed="false">
      <c r="A612" s="12" t="n">
        <v>604</v>
      </c>
      <c r="B612" s="13"/>
      <c r="C612" s="12" t="str">
        <f aca="false">IF(B612="","",IF(B612=IFERROR(INDEX(設定!$B$18:$F$18,MATCH(入力!$B$4,設定!$A$23:$A$27,0)),""),1,0))</f>
        <v/>
      </c>
    </row>
    <row r="613" customFormat="false" ht="15" hidden="false" customHeight="false" outlineLevel="0" collapsed="false">
      <c r="A613" s="12" t="n">
        <v>605</v>
      </c>
      <c r="B613" s="13"/>
      <c r="C613" s="12" t="str">
        <f aca="false">IF(B613="","",IF(B613=IFERROR(INDEX(設定!$B$18:$F$18,MATCH(入力!$B$4,設定!$A$23:$A$27,0)),""),1,0))</f>
        <v/>
      </c>
    </row>
    <row r="614" customFormat="false" ht="15" hidden="false" customHeight="false" outlineLevel="0" collapsed="false">
      <c r="A614" s="12" t="n">
        <v>606</v>
      </c>
      <c r="B614" s="13"/>
      <c r="C614" s="12" t="str">
        <f aca="false">IF(B614="","",IF(B614=IFERROR(INDEX(設定!$B$18:$F$18,MATCH(入力!$B$4,設定!$A$23:$A$27,0)),""),1,0))</f>
        <v/>
      </c>
    </row>
    <row r="615" customFormat="false" ht="15" hidden="false" customHeight="false" outlineLevel="0" collapsed="false">
      <c r="A615" s="12" t="n">
        <v>607</v>
      </c>
      <c r="B615" s="13"/>
      <c r="C615" s="12" t="str">
        <f aca="false">IF(B615="","",IF(B615=IFERROR(INDEX(設定!$B$18:$F$18,MATCH(入力!$B$4,設定!$A$23:$A$27,0)),""),1,0))</f>
        <v/>
      </c>
    </row>
    <row r="616" customFormat="false" ht="15" hidden="false" customHeight="false" outlineLevel="0" collapsed="false">
      <c r="A616" s="12" t="n">
        <v>608</v>
      </c>
      <c r="B616" s="13"/>
      <c r="C616" s="12" t="str">
        <f aca="false">IF(B616="","",IF(B616=IFERROR(INDEX(設定!$B$18:$F$18,MATCH(入力!$B$4,設定!$A$23:$A$27,0)),""),1,0))</f>
        <v/>
      </c>
    </row>
    <row r="617" customFormat="false" ht="15" hidden="false" customHeight="false" outlineLevel="0" collapsed="false">
      <c r="A617" s="12" t="n">
        <v>609</v>
      </c>
      <c r="B617" s="13"/>
      <c r="C617" s="12" t="str">
        <f aca="false">IF(B617="","",IF(B617=IFERROR(INDEX(設定!$B$18:$F$18,MATCH(入力!$B$4,設定!$A$23:$A$27,0)),""),1,0))</f>
        <v/>
      </c>
    </row>
    <row r="618" customFormat="false" ht="15" hidden="false" customHeight="false" outlineLevel="0" collapsed="false">
      <c r="A618" s="12" t="n">
        <v>610</v>
      </c>
      <c r="B618" s="13"/>
      <c r="C618" s="12" t="str">
        <f aca="false">IF(B618="","",IF(B618=IFERROR(INDEX(設定!$B$18:$F$18,MATCH(入力!$B$4,設定!$A$23:$A$27,0)),""),1,0))</f>
        <v/>
      </c>
    </row>
    <row r="619" customFormat="false" ht="15" hidden="false" customHeight="false" outlineLevel="0" collapsed="false">
      <c r="A619" s="12" t="n">
        <v>611</v>
      </c>
      <c r="B619" s="13"/>
      <c r="C619" s="12" t="str">
        <f aca="false">IF(B619="","",IF(B619=IFERROR(INDEX(設定!$B$18:$F$18,MATCH(入力!$B$4,設定!$A$23:$A$27,0)),""),1,0))</f>
        <v/>
      </c>
    </row>
    <row r="620" customFormat="false" ht="15" hidden="false" customHeight="false" outlineLevel="0" collapsed="false">
      <c r="A620" s="12" t="n">
        <v>612</v>
      </c>
      <c r="B620" s="13"/>
      <c r="C620" s="12" t="str">
        <f aca="false">IF(B620="","",IF(B620=IFERROR(INDEX(設定!$B$18:$F$18,MATCH(入力!$B$4,設定!$A$23:$A$27,0)),""),1,0))</f>
        <v/>
      </c>
    </row>
    <row r="621" customFormat="false" ht="15" hidden="false" customHeight="false" outlineLevel="0" collapsed="false">
      <c r="A621" s="12" t="n">
        <v>613</v>
      </c>
      <c r="B621" s="13"/>
      <c r="C621" s="12" t="str">
        <f aca="false">IF(B621="","",IF(B621=IFERROR(INDEX(設定!$B$18:$F$18,MATCH(入力!$B$4,設定!$A$23:$A$27,0)),""),1,0))</f>
        <v/>
      </c>
    </row>
    <row r="622" customFormat="false" ht="15" hidden="false" customHeight="false" outlineLevel="0" collapsed="false">
      <c r="A622" s="12" t="n">
        <v>614</v>
      </c>
      <c r="B622" s="13"/>
      <c r="C622" s="12" t="str">
        <f aca="false">IF(B622="","",IF(B622=IFERROR(INDEX(設定!$B$18:$F$18,MATCH(入力!$B$4,設定!$A$23:$A$27,0)),""),1,0))</f>
        <v/>
      </c>
    </row>
    <row r="623" customFormat="false" ht="15" hidden="false" customHeight="false" outlineLevel="0" collapsed="false">
      <c r="A623" s="12" t="n">
        <v>615</v>
      </c>
      <c r="B623" s="13"/>
      <c r="C623" s="12" t="str">
        <f aca="false">IF(B623="","",IF(B623=IFERROR(INDEX(設定!$B$18:$F$18,MATCH(入力!$B$4,設定!$A$23:$A$27,0)),""),1,0))</f>
        <v/>
      </c>
    </row>
    <row r="624" customFormat="false" ht="15" hidden="false" customHeight="false" outlineLevel="0" collapsed="false">
      <c r="A624" s="12" t="n">
        <v>616</v>
      </c>
      <c r="B624" s="13"/>
      <c r="C624" s="12" t="str">
        <f aca="false">IF(B624="","",IF(B624=IFERROR(INDEX(設定!$B$18:$F$18,MATCH(入力!$B$4,設定!$A$23:$A$27,0)),""),1,0))</f>
        <v/>
      </c>
    </row>
    <row r="625" customFormat="false" ht="15" hidden="false" customHeight="false" outlineLevel="0" collapsed="false">
      <c r="A625" s="12" t="n">
        <v>617</v>
      </c>
      <c r="B625" s="13"/>
      <c r="C625" s="12" t="str">
        <f aca="false">IF(B625="","",IF(B625=IFERROR(INDEX(設定!$B$18:$F$18,MATCH(入力!$B$4,設定!$A$23:$A$27,0)),""),1,0))</f>
        <v/>
      </c>
    </row>
    <row r="626" customFormat="false" ht="15" hidden="false" customHeight="false" outlineLevel="0" collapsed="false">
      <c r="A626" s="12" t="n">
        <v>618</v>
      </c>
      <c r="B626" s="13"/>
      <c r="C626" s="12" t="str">
        <f aca="false">IF(B626="","",IF(B626=IFERROR(INDEX(設定!$B$18:$F$18,MATCH(入力!$B$4,設定!$A$23:$A$27,0)),""),1,0))</f>
        <v/>
      </c>
    </row>
    <row r="627" customFormat="false" ht="15" hidden="false" customHeight="false" outlineLevel="0" collapsed="false">
      <c r="A627" s="12" t="n">
        <v>619</v>
      </c>
      <c r="B627" s="13"/>
      <c r="C627" s="12" t="str">
        <f aca="false">IF(B627="","",IF(B627=IFERROR(INDEX(設定!$B$18:$F$18,MATCH(入力!$B$4,設定!$A$23:$A$27,0)),""),1,0))</f>
        <v/>
      </c>
    </row>
    <row r="628" customFormat="false" ht="15" hidden="false" customHeight="false" outlineLevel="0" collapsed="false">
      <c r="A628" s="12" t="n">
        <v>620</v>
      </c>
      <c r="B628" s="13"/>
      <c r="C628" s="12" t="str">
        <f aca="false">IF(B628="","",IF(B628=IFERROR(INDEX(設定!$B$18:$F$18,MATCH(入力!$B$4,設定!$A$23:$A$27,0)),""),1,0))</f>
        <v/>
      </c>
    </row>
    <row r="629" customFormat="false" ht="15" hidden="false" customHeight="false" outlineLevel="0" collapsed="false">
      <c r="A629" s="12" t="n">
        <v>621</v>
      </c>
      <c r="B629" s="13"/>
      <c r="C629" s="12" t="str">
        <f aca="false">IF(B629="","",IF(B629=IFERROR(INDEX(設定!$B$18:$F$18,MATCH(入力!$B$4,設定!$A$23:$A$27,0)),""),1,0))</f>
        <v/>
      </c>
    </row>
    <row r="630" customFormat="false" ht="15" hidden="false" customHeight="false" outlineLevel="0" collapsed="false">
      <c r="A630" s="12" t="n">
        <v>622</v>
      </c>
      <c r="B630" s="13"/>
      <c r="C630" s="12" t="str">
        <f aca="false">IF(B630="","",IF(B630=IFERROR(INDEX(設定!$B$18:$F$18,MATCH(入力!$B$4,設定!$A$23:$A$27,0)),""),1,0))</f>
        <v/>
      </c>
    </row>
    <row r="631" customFormat="false" ht="15" hidden="false" customHeight="false" outlineLevel="0" collapsed="false">
      <c r="A631" s="12" t="n">
        <v>623</v>
      </c>
      <c r="B631" s="13"/>
      <c r="C631" s="12" t="str">
        <f aca="false">IF(B631="","",IF(B631=IFERROR(INDEX(設定!$B$18:$F$18,MATCH(入力!$B$4,設定!$A$23:$A$27,0)),""),1,0))</f>
        <v/>
      </c>
    </row>
    <row r="632" customFormat="false" ht="15" hidden="false" customHeight="false" outlineLevel="0" collapsed="false">
      <c r="A632" s="12" t="n">
        <v>624</v>
      </c>
      <c r="B632" s="13"/>
      <c r="C632" s="12" t="str">
        <f aca="false">IF(B632="","",IF(B632=IFERROR(INDEX(設定!$B$18:$F$18,MATCH(入力!$B$4,設定!$A$23:$A$27,0)),""),1,0))</f>
        <v/>
      </c>
    </row>
    <row r="633" customFormat="false" ht="15" hidden="false" customHeight="false" outlineLevel="0" collapsed="false">
      <c r="A633" s="12" t="n">
        <v>625</v>
      </c>
      <c r="B633" s="13"/>
      <c r="C633" s="12" t="str">
        <f aca="false">IF(B633="","",IF(B633=IFERROR(INDEX(設定!$B$18:$F$18,MATCH(入力!$B$4,設定!$A$23:$A$27,0)),""),1,0))</f>
        <v/>
      </c>
    </row>
    <row r="634" customFormat="false" ht="15" hidden="false" customHeight="false" outlineLevel="0" collapsed="false">
      <c r="A634" s="12" t="n">
        <v>626</v>
      </c>
      <c r="B634" s="13"/>
      <c r="C634" s="12" t="str">
        <f aca="false">IF(B634="","",IF(B634=IFERROR(INDEX(設定!$B$18:$F$18,MATCH(入力!$B$4,設定!$A$23:$A$27,0)),""),1,0))</f>
        <v/>
      </c>
    </row>
    <row r="635" customFormat="false" ht="15" hidden="false" customHeight="false" outlineLevel="0" collapsed="false">
      <c r="A635" s="12" t="n">
        <v>627</v>
      </c>
      <c r="B635" s="13"/>
      <c r="C635" s="12" t="str">
        <f aca="false">IF(B635="","",IF(B635=IFERROR(INDEX(設定!$B$18:$F$18,MATCH(入力!$B$4,設定!$A$23:$A$27,0)),""),1,0))</f>
        <v/>
      </c>
    </row>
    <row r="636" customFormat="false" ht="15" hidden="false" customHeight="false" outlineLevel="0" collapsed="false">
      <c r="A636" s="12" t="n">
        <v>628</v>
      </c>
      <c r="B636" s="13"/>
      <c r="C636" s="12" t="str">
        <f aca="false">IF(B636="","",IF(B636=IFERROR(INDEX(設定!$B$18:$F$18,MATCH(入力!$B$4,設定!$A$23:$A$27,0)),""),1,0))</f>
        <v/>
      </c>
    </row>
    <row r="637" customFormat="false" ht="15" hidden="false" customHeight="false" outlineLevel="0" collapsed="false">
      <c r="A637" s="12" t="n">
        <v>629</v>
      </c>
      <c r="B637" s="13"/>
      <c r="C637" s="12" t="str">
        <f aca="false">IF(B637="","",IF(B637=IFERROR(INDEX(設定!$B$18:$F$18,MATCH(入力!$B$4,設定!$A$23:$A$27,0)),""),1,0))</f>
        <v/>
      </c>
    </row>
    <row r="638" customFormat="false" ht="15" hidden="false" customHeight="false" outlineLevel="0" collapsed="false">
      <c r="A638" s="12" t="n">
        <v>630</v>
      </c>
      <c r="B638" s="13"/>
      <c r="C638" s="12" t="str">
        <f aca="false">IF(B638="","",IF(B638=IFERROR(INDEX(設定!$B$18:$F$18,MATCH(入力!$B$4,設定!$A$23:$A$27,0)),""),1,0))</f>
        <v/>
      </c>
    </row>
    <row r="639" customFormat="false" ht="15" hidden="false" customHeight="false" outlineLevel="0" collapsed="false">
      <c r="A639" s="12" t="n">
        <v>631</v>
      </c>
      <c r="B639" s="13"/>
      <c r="C639" s="12" t="str">
        <f aca="false">IF(B639="","",IF(B639=IFERROR(INDEX(設定!$B$18:$F$18,MATCH(入力!$B$4,設定!$A$23:$A$27,0)),""),1,0))</f>
        <v/>
      </c>
    </row>
    <row r="640" customFormat="false" ht="15" hidden="false" customHeight="false" outlineLevel="0" collapsed="false">
      <c r="A640" s="12" t="n">
        <v>632</v>
      </c>
      <c r="B640" s="13"/>
      <c r="C640" s="12" t="str">
        <f aca="false">IF(B640="","",IF(B640=IFERROR(INDEX(設定!$B$18:$F$18,MATCH(入力!$B$4,設定!$A$23:$A$27,0)),""),1,0))</f>
        <v/>
      </c>
    </row>
    <row r="641" customFormat="false" ht="15" hidden="false" customHeight="false" outlineLevel="0" collapsed="false">
      <c r="A641" s="12" t="n">
        <v>633</v>
      </c>
      <c r="B641" s="13"/>
      <c r="C641" s="12" t="str">
        <f aca="false">IF(B641="","",IF(B641=IFERROR(INDEX(設定!$B$18:$F$18,MATCH(入力!$B$4,設定!$A$23:$A$27,0)),""),1,0))</f>
        <v/>
      </c>
    </row>
    <row r="642" customFormat="false" ht="15" hidden="false" customHeight="false" outlineLevel="0" collapsed="false">
      <c r="A642" s="12" t="n">
        <v>634</v>
      </c>
      <c r="B642" s="13"/>
      <c r="C642" s="12" t="str">
        <f aca="false">IF(B642="","",IF(B642=IFERROR(INDEX(設定!$B$18:$F$18,MATCH(入力!$B$4,設定!$A$23:$A$27,0)),""),1,0))</f>
        <v/>
      </c>
    </row>
    <row r="643" customFormat="false" ht="15" hidden="false" customHeight="false" outlineLevel="0" collapsed="false">
      <c r="A643" s="12" t="n">
        <v>635</v>
      </c>
      <c r="B643" s="13"/>
      <c r="C643" s="12" t="str">
        <f aca="false">IF(B643="","",IF(B643=IFERROR(INDEX(設定!$B$18:$F$18,MATCH(入力!$B$4,設定!$A$23:$A$27,0)),""),1,0))</f>
        <v/>
      </c>
    </row>
    <row r="644" customFormat="false" ht="15" hidden="false" customHeight="false" outlineLevel="0" collapsed="false">
      <c r="A644" s="12" t="n">
        <v>636</v>
      </c>
      <c r="B644" s="13"/>
      <c r="C644" s="12" t="str">
        <f aca="false">IF(B644="","",IF(B644=IFERROR(INDEX(設定!$B$18:$F$18,MATCH(入力!$B$4,設定!$A$23:$A$27,0)),""),1,0))</f>
        <v/>
      </c>
    </row>
    <row r="645" customFormat="false" ht="15" hidden="false" customHeight="false" outlineLevel="0" collapsed="false">
      <c r="A645" s="12" t="n">
        <v>637</v>
      </c>
      <c r="B645" s="13"/>
      <c r="C645" s="12" t="str">
        <f aca="false">IF(B645="","",IF(B645=IFERROR(INDEX(設定!$B$18:$F$18,MATCH(入力!$B$4,設定!$A$23:$A$27,0)),""),1,0))</f>
        <v/>
      </c>
    </row>
    <row r="646" customFormat="false" ht="15" hidden="false" customHeight="false" outlineLevel="0" collapsed="false">
      <c r="A646" s="12" t="n">
        <v>638</v>
      </c>
      <c r="B646" s="13"/>
      <c r="C646" s="12" t="str">
        <f aca="false">IF(B646="","",IF(B646=IFERROR(INDEX(設定!$B$18:$F$18,MATCH(入力!$B$4,設定!$A$23:$A$27,0)),""),1,0))</f>
        <v/>
      </c>
    </row>
    <row r="647" customFormat="false" ht="15" hidden="false" customHeight="false" outlineLevel="0" collapsed="false">
      <c r="A647" s="12" t="n">
        <v>639</v>
      </c>
      <c r="B647" s="13"/>
      <c r="C647" s="12" t="str">
        <f aca="false">IF(B647="","",IF(B647=IFERROR(INDEX(設定!$B$18:$F$18,MATCH(入力!$B$4,設定!$A$23:$A$27,0)),""),1,0))</f>
        <v/>
      </c>
    </row>
    <row r="648" customFormat="false" ht="15" hidden="false" customHeight="false" outlineLevel="0" collapsed="false">
      <c r="A648" s="12" t="n">
        <v>640</v>
      </c>
      <c r="B648" s="13"/>
      <c r="C648" s="12" t="str">
        <f aca="false">IF(B648="","",IF(B648=IFERROR(INDEX(設定!$B$18:$F$18,MATCH(入力!$B$4,設定!$A$23:$A$27,0)),""),1,0))</f>
        <v/>
      </c>
    </row>
    <row r="649" customFormat="false" ht="15" hidden="false" customHeight="false" outlineLevel="0" collapsed="false">
      <c r="A649" s="12" t="n">
        <v>641</v>
      </c>
      <c r="B649" s="13"/>
      <c r="C649" s="12" t="str">
        <f aca="false">IF(B649="","",IF(B649=IFERROR(INDEX(設定!$B$18:$F$18,MATCH(入力!$B$4,設定!$A$23:$A$27,0)),""),1,0))</f>
        <v/>
      </c>
    </row>
    <row r="650" customFormat="false" ht="15" hidden="false" customHeight="false" outlineLevel="0" collapsed="false">
      <c r="A650" s="12" t="n">
        <v>642</v>
      </c>
      <c r="B650" s="13"/>
      <c r="C650" s="12" t="str">
        <f aca="false">IF(B650="","",IF(B650=IFERROR(INDEX(設定!$B$18:$F$18,MATCH(入力!$B$4,設定!$A$23:$A$27,0)),""),1,0))</f>
        <v/>
      </c>
    </row>
    <row r="651" customFormat="false" ht="15" hidden="false" customHeight="false" outlineLevel="0" collapsed="false">
      <c r="A651" s="12" t="n">
        <v>643</v>
      </c>
      <c r="B651" s="13"/>
      <c r="C651" s="12" t="str">
        <f aca="false">IF(B651="","",IF(B651=IFERROR(INDEX(設定!$B$18:$F$18,MATCH(入力!$B$4,設定!$A$23:$A$27,0)),""),1,0))</f>
        <v/>
      </c>
    </row>
    <row r="652" customFormat="false" ht="15" hidden="false" customHeight="false" outlineLevel="0" collapsed="false">
      <c r="A652" s="12" t="n">
        <v>644</v>
      </c>
      <c r="B652" s="13"/>
      <c r="C652" s="12" t="str">
        <f aca="false">IF(B652="","",IF(B652=IFERROR(INDEX(設定!$B$18:$F$18,MATCH(入力!$B$4,設定!$A$23:$A$27,0)),""),1,0))</f>
        <v/>
      </c>
    </row>
    <row r="653" customFormat="false" ht="15" hidden="false" customHeight="false" outlineLevel="0" collapsed="false">
      <c r="A653" s="12" t="n">
        <v>645</v>
      </c>
      <c r="B653" s="13"/>
      <c r="C653" s="12" t="str">
        <f aca="false">IF(B653="","",IF(B653=IFERROR(INDEX(設定!$B$18:$F$18,MATCH(入力!$B$4,設定!$A$23:$A$27,0)),""),1,0))</f>
        <v/>
      </c>
    </row>
    <row r="654" customFormat="false" ht="15" hidden="false" customHeight="false" outlineLevel="0" collapsed="false">
      <c r="A654" s="12" t="n">
        <v>646</v>
      </c>
      <c r="B654" s="13"/>
      <c r="C654" s="12" t="str">
        <f aca="false">IF(B654="","",IF(B654=IFERROR(INDEX(設定!$B$18:$F$18,MATCH(入力!$B$4,設定!$A$23:$A$27,0)),""),1,0))</f>
        <v/>
      </c>
    </row>
    <row r="655" customFormat="false" ht="15" hidden="false" customHeight="false" outlineLevel="0" collapsed="false">
      <c r="A655" s="12" t="n">
        <v>647</v>
      </c>
      <c r="B655" s="13"/>
      <c r="C655" s="12" t="str">
        <f aca="false">IF(B655="","",IF(B655=IFERROR(INDEX(設定!$B$18:$F$18,MATCH(入力!$B$4,設定!$A$23:$A$27,0)),""),1,0))</f>
        <v/>
      </c>
    </row>
    <row r="656" customFormat="false" ht="15" hidden="false" customHeight="false" outlineLevel="0" collapsed="false">
      <c r="A656" s="12" t="n">
        <v>648</v>
      </c>
      <c r="B656" s="13"/>
      <c r="C656" s="12" t="str">
        <f aca="false">IF(B656="","",IF(B656=IFERROR(INDEX(設定!$B$18:$F$18,MATCH(入力!$B$4,設定!$A$23:$A$27,0)),""),1,0))</f>
        <v/>
      </c>
    </row>
    <row r="657" customFormat="false" ht="15" hidden="false" customHeight="false" outlineLevel="0" collapsed="false">
      <c r="A657" s="12" t="n">
        <v>649</v>
      </c>
      <c r="B657" s="13"/>
      <c r="C657" s="12" t="str">
        <f aca="false">IF(B657="","",IF(B657=IFERROR(INDEX(設定!$B$18:$F$18,MATCH(入力!$B$4,設定!$A$23:$A$27,0)),""),1,0))</f>
        <v/>
      </c>
    </row>
    <row r="658" customFormat="false" ht="15" hidden="false" customHeight="false" outlineLevel="0" collapsed="false">
      <c r="A658" s="12" t="n">
        <v>650</v>
      </c>
      <c r="B658" s="13"/>
      <c r="C658" s="12" t="str">
        <f aca="false">IF(B658="","",IF(B658=IFERROR(INDEX(設定!$B$18:$F$18,MATCH(入力!$B$4,設定!$A$23:$A$27,0)),""),1,0))</f>
        <v/>
      </c>
    </row>
    <row r="659" customFormat="false" ht="15" hidden="false" customHeight="false" outlineLevel="0" collapsed="false">
      <c r="A659" s="12" t="n">
        <v>651</v>
      </c>
      <c r="B659" s="13"/>
      <c r="C659" s="12" t="str">
        <f aca="false">IF(B659="","",IF(B659=IFERROR(INDEX(設定!$B$18:$F$18,MATCH(入力!$B$4,設定!$A$23:$A$27,0)),""),1,0))</f>
        <v/>
      </c>
    </row>
    <row r="660" customFormat="false" ht="15" hidden="false" customHeight="false" outlineLevel="0" collapsed="false">
      <c r="A660" s="12" t="n">
        <v>652</v>
      </c>
      <c r="B660" s="13"/>
      <c r="C660" s="12" t="str">
        <f aca="false">IF(B660="","",IF(B660=IFERROR(INDEX(設定!$B$18:$F$18,MATCH(入力!$B$4,設定!$A$23:$A$27,0)),""),1,0))</f>
        <v/>
      </c>
    </row>
    <row r="661" customFormat="false" ht="15" hidden="false" customHeight="false" outlineLevel="0" collapsed="false">
      <c r="A661" s="12" t="n">
        <v>653</v>
      </c>
      <c r="B661" s="13"/>
      <c r="C661" s="12" t="str">
        <f aca="false">IF(B661="","",IF(B661=IFERROR(INDEX(設定!$B$18:$F$18,MATCH(入力!$B$4,設定!$A$23:$A$27,0)),""),1,0))</f>
        <v/>
      </c>
    </row>
    <row r="662" customFormat="false" ht="15" hidden="false" customHeight="false" outlineLevel="0" collapsed="false">
      <c r="A662" s="12" t="n">
        <v>654</v>
      </c>
      <c r="B662" s="13"/>
      <c r="C662" s="12" t="str">
        <f aca="false">IF(B662="","",IF(B662=IFERROR(INDEX(設定!$B$18:$F$18,MATCH(入力!$B$4,設定!$A$23:$A$27,0)),""),1,0))</f>
        <v/>
      </c>
    </row>
    <row r="663" customFormat="false" ht="15" hidden="false" customHeight="false" outlineLevel="0" collapsed="false">
      <c r="A663" s="12" t="n">
        <v>655</v>
      </c>
      <c r="B663" s="13"/>
      <c r="C663" s="12" t="str">
        <f aca="false">IF(B663="","",IF(B663=IFERROR(INDEX(設定!$B$18:$F$18,MATCH(入力!$B$4,設定!$A$23:$A$27,0)),""),1,0))</f>
        <v/>
      </c>
    </row>
    <row r="664" customFormat="false" ht="15" hidden="false" customHeight="false" outlineLevel="0" collapsed="false">
      <c r="A664" s="12" t="n">
        <v>656</v>
      </c>
      <c r="B664" s="13"/>
      <c r="C664" s="12" t="str">
        <f aca="false">IF(B664="","",IF(B664=IFERROR(INDEX(設定!$B$18:$F$18,MATCH(入力!$B$4,設定!$A$23:$A$27,0)),""),1,0))</f>
        <v/>
      </c>
    </row>
    <row r="665" customFormat="false" ht="15" hidden="false" customHeight="false" outlineLevel="0" collapsed="false">
      <c r="A665" s="12" t="n">
        <v>657</v>
      </c>
      <c r="B665" s="13"/>
      <c r="C665" s="12" t="str">
        <f aca="false">IF(B665="","",IF(B665=IFERROR(INDEX(設定!$B$18:$F$18,MATCH(入力!$B$4,設定!$A$23:$A$27,0)),""),1,0))</f>
        <v/>
      </c>
    </row>
    <row r="666" customFormat="false" ht="15" hidden="false" customHeight="false" outlineLevel="0" collapsed="false">
      <c r="A666" s="12" t="n">
        <v>658</v>
      </c>
      <c r="B666" s="13"/>
      <c r="C666" s="12" t="str">
        <f aca="false">IF(B666="","",IF(B666=IFERROR(INDEX(設定!$B$18:$F$18,MATCH(入力!$B$4,設定!$A$23:$A$27,0)),""),1,0))</f>
        <v/>
      </c>
    </row>
    <row r="667" customFormat="false" ht="15" hidden="false" customHeight="false" outlineLevel="0" collapsed="false">
      <c r="A667" s="12" t="n">
        <v>659</v>
      </c>
      <c r="B667" s="13"/>
      <c r="C667" s="12" t="str">
        <f aca="false">IF(B667="","",IF(B667=IFERROR(INDEX(設定!$B$18:$F$18,MATCH(入力!$B$4,設定!$A$23:$A$27,0)),""),1,0))</f>
        <v/>
      </c>
    </row>
    <row r="668" customFormat="false" ht="15" hidden="false" customHeight="false" outlineLevel="0" collapsed="false">
      <c r="A668" s="12" t="n">
        <v>660</v>
      </c>
      <c r="B668" s="13"/>
      <c r="C668" s="12" t="str">
        <f aca="false">IF(B668="","",IF(B668=IFERROR(INDEX(設定!$B$18:$F$18,MATCH(入力!$B$4,設定!$A$23:$A$27,0)),""),1,0))</f>
        <v/>
      </c>
    </row>
    <row r="669" customFormat="false" ht="15" hidden="false" customHeight="false" outlineLevel="0" collapsed="false">
      <c r="A669" s="12" t="n">
        <v>661</v>
      </c>
      <c r="B669" s="13"/>
      <c r="C669" s="12" t="str">
        <f aca="false">IF(B669="","",IF(B669=IFERROR(INDEX(設定!$B$18:$F$18,MATCH(入力!$B$4,設定!$A$23:$A$27,0)),""),1,0))</f>
        <v/>
      </c>
    </row>
    <row r="670" customFormat="false" ht="15" hidden="false" customHeight="false" outlineLevel="0" collapsed="false">
      <c r="A670" s="12" t="n">
        <v>662</v>
      </c>
      <c r="B670" s="13"/>
      <c r="C670" s="12" t="str">
        <f aca="false">IF(B670="","",IF(B670=IFERROR(INDEX(設定!$B$18:$F$18,MATCH(入力!$B$4,設定!$A$23:$A$27,0)),""),1,0))</f>
        <v/>
      </c>
    </row>
    <row r="671" customFormat="false" ht="15" hidden="false" customHeight="false" outlineLevel="0" collapsed="false">
      <c r="A671" s="12" t="n">
        <v>663</v>
      </c>
      <c r="B671" s="13"/>
      <c r="C671" s="12" t="str">
        <f aca="false">IF(B671="","",IF(B671=IFERROR(INDEX(設定!$B$18:$F$18,MATCH(入力!$B$4,設定!$A$23:$A$27,0)),""),1,0))</f>
        <v/>
      </c>
    </row>
    <row r="672" customFormat="false" ht="15" hidden="false" customHeight="false" outlineLevel="0" collapsed="false">
      <c r="A672" s="12" t="n">
        <v>664</v>
      </c>
      <c r="B672" s="13"/>
      <c r="C672" s="12" t="str">
        <f aca="false">IF(B672="","",IF(B672=IFERROR(INDEX(設定!$B$18:$F$18,MATCH(入力!$B$4,設定!$A$23:$A$27,0)),""),1,0))</f>
        <v/>
      </c>
    </row>
    <row r="673" customFormat="false" ht="15" hidden="false" customHeight="false" outlineLevel="0" collapsed="false">
      <c r="A673" s="12" t="n">
        <v>665</v>
      </c>
      <c r="B673" s="13"/>
      <c r="C673" s="12" t="str">
        <f aca="false">IF(B673="","",IF(B673=IFERROR(INDEX(設定!$B$18:$F$18,MATCH(入力!$B$4,設定!$A$23:$A$27,0)),""),1,0))</f>
        <v/>
      </c>
    </row>
    <row r="674" customFormat="false" ht="15" hidden="false" customHeight="false" outlineLevel="0" collapsed="false">
      <c r="A674" s="12" t="n">
        <v>666</v>
      </c>
      <c r="B674" s="13"/>
      <c r="C674" s="12" t="str">
        <f aca="false">IF(B674="","",IF(B674=IFERROR(INDEX(設定!$B$18:$F$18,MATCH(入力!$B$4,設定!$A$23:$A$27,0)),""),1,0))</f>
        <v/>
      </c>
    </row>
    <row r="675" customFormat="false" ht="15" hidden="false" customHeight="false" outlineLevel="0" collapsed="false">
      <c r="A675" s="12" t="n">
        <v>667</v>
      </c>
      <c r="B675" s="13"/>
      <c r="C675" s="12" t="str">
        <f aca="false">IF(B675="","",IF(B675=IFERROR(INDEX(設定!$B$18:$F$18,MATCH(入力!$B$4,設定!$A$23:$A$27,0)),""),1,0))</f>
        <v/>
      </c>
    </row>
    <row r="676" customFormat="false" ht="15" hidden="false" customHeight="false" outlineLevel="0" collapsed="false">
      <c r="A676" s="12" t="n">
        <v>668</v>
      </c>
      <c r="B676" s="13"/>
      <c r="C676" s="12" t="str">
        <f aca="false">IF(B676="","",IF(B676=IFERROR(INDEX(設定!$B$18:$F$18,MATCH(入力!$B$4,設定!$A$23:$A$27,0)),""),1,0))</f>
        <v/>
      </c>
    </row>
    <row r="677" customFormat="false" ht="15" hidden="false" customHeight="false" outlineLevel="0" collapsed="false">
      <c r="A677" s="12" t="n">
        <v>669</v>
      </c>
      <c r="B677" s="13"/>
      <c r="C677" s="12" t="str">
        <f aca="false">IF(B677="","",IF(B677=IFERROR(INDEX(設定!$B$18:$F$18,MATCH(入力!$B$4,設定!$A$23:$A$27,0)),""),1,0))</f>
        <v/>
      </c>
    </row>
    <row r="678" customFormat="false" ht="15" hidden="false" customHeight="false" outlineLevel="0" collapsed="false">
      <c r="A678" s="12" t="n">
        <v>670</v>
      </c>
      <c r="B678" s="13"/>
      <c r="C678" s="12" t="str">
        <f aca="false">IF(B678="","",IF(B678=IFERROR(INDEX(設定!$B$18:$F$18,MATCH(入力!$B$4,設定!$A$23:$A$27,0)),""),1,0))</f>
        <v/>
      </c>
    </row>
    <row r="679" customFormat="false" ht="15" hidden="false" customHeight="false" outlineLevel="0" collapsed="false">
      <c r="A679" s="12" t="n">
        <v>671</v>
      </c>
      <c r="B679" s="13"/>
      <c r="C679" s="12" t="str">
        <f aca="false">IF(B679="","",IF(B679=IFERROR(INDEX(設定!$B$18:$F$18,MATCH(入力!$B$4,設定!$A$23:$A$27,0)),""),1,0))</f>
        <v/>
      </c>
    </row>
    <row r="680" customFormat="false" ht="15" hidden="false" customHeight="false" outlineLevel="0" collapsed="false">
      <c r="A680" s="12" t="n">
        <v>672</v>
      </c>
      <c r="B680" s="13"/>
      <c r="C680" s="12" t="str">
        <f aca="false">IF(B680="","",IF(B680=IFERROR(INDEX(設定!$B$18:$F$18,MATCH(入力!$B$4,設定!$A$23:$A$27,0)),""),1,0))</f>
        <v/>
      </c>
    </row>
    <row r="681" customFormat="false" ht="15" hidden="false" customHeight="false" outlineLevel="0" collapsed="false">
      <c r="A681" s="12" t="n">
        <v>673</v>
      </c>
      <c r="B681" s="13"/>
      <c r="C681" s="12" t="str">
        <f aca="false">IF(B681="","",IF(B681=IFERROR(INDEX(設定!$B$18:$F$18,MATCH(入力!$B$4,設定!$A$23:$A$27,0)),""),1,0))</f>
        <v/>
      </c>
    </row>
    <row r="682" customFormat="false" ht="15" hidden="false" customHeight="false" outlineLevel="0" collapsed="false">
      <c r="A682" s="12" t="n">
        <v>674</v>
      </c>
      <c r="B682" s="13"/>
      <c r="C682" s="12" t="str">
        <f aca="false">IF(B682="","",IF(B682=IFERROR(INDEX(設定!$B$18:$F$18,MATCH(入力!$B$4,設定!$A$23:$A$27,0)),""),1,0))</f>
        <v/>
      </c>
    </row>
    <row r="683" customFormat="false" ht="15" hidden="false" customHeight="false" outlineLevel="0" collapsed="false">
      <c r="A683" s="12" t="n">
        <v>675</v>
      </c>
      <c r="B683" s="13"/>
      <c r="C683" s="12" t="str">
        <f aca="false">IF(B683="","",IF(B683=IFERROR(INDEX(設定!$B$18:$F$18,MATCH(入力!$B$4,設定!$A$23:$A$27,0)),""),1,0))</f>
        <v/>
      </c>
    </row>
    <row r="684" customFormat="false" ht="15" hidden="false" customHeight="false" outlineLevel="0" collapsed="false">
      <c r="A684" s="12" t="n">
        <v>676</v>
      </c>
      <c r="B684" s="13"/>
      <c r="C684" s="12" t="str">
        <f aca="false">IF(B684="","",IF(B684=IFERROR(INDEX(設定!$B$18:$F$18,MATCH(入力!$B$4,設定!$A$23:$A$27,0)),""),1,0))</f>
        <v/>
      </c>
    </row>
    <row r="685" customFormat="false" ht="15" hidden="false" customHeight="false" outlineLevel="0" collapsed="false">
      <c r="A685" s="12" t="n">
        <v>677</v>
      </c>
      <c r="B685" s="13"/>
      <c r="C685" s="12" t="str">
        <f aca="false">IF(B685="","",IF(B685=IFERROR(INDEX(設定!$B$18:$F$18,MATCH(入力!$B$4,設定!$A$23:$A$27,0)),""),1,0))</f>
        <v/>
      </c>
    </row>
    <row r="686" customFormat="false" ht="15" hidden="false" customHeight="false" outlineLevel="0" collapsed="false">
      <c r="A686" s="12" t="n">
        <v>678</v>
      </c>
      <c r="B686" s="13"/>
      <c r="C686" s="12" t="str">
        <f aca="false">IF(B686="","",IF(B686=IFERROR(INDEX(設定!$B$18:$F$18,MATCH(入力!$B$4,設定!$A$23:$A$27,0)),""),1,0))</f>
        <v/>
      </c>
    </row>
    <row r="687" customFormat="false" ht="15" hidden="false" customHeight="false" outlineLevel="0" collapsed="false">
      <c r="A687" s="12" t="n">
        <v>679</v>
      </c>
      <c r="B687" s="13"/>
      <c r="C687" s="12" t="str">
        <f aca="false">IF(B687="","",IF(B687=IFERROR(INDEX(設定!$B$18:$F$18,MATCH(入力!$B$4,設定!$A$23:$A$27,0)),""),1,0))</f>
        <v/>
      </c>
    </row>
    <row r="688" customFormat="false" ht="15" hidden="false" customHeight="false" outlineLevel="0" collapsed="false">
      <c r="A688" s="12" t="n">
        <v>680</v>
      </c>
      <c r="B688" s="13"/>
      <c r="C688" s="12" t="str">
        <f aca="false">IF(B688="","",IF(B688=IFERROR(INDEX(設定!$B$18:$F$18,MATCH(入力!$B$4,設定!$A$23:$A$27,0)),""),1,0))</f>
        <v/>
      </c>
    </row>
    <row r="689" customFormat="false" ht="15" hidden="false" customHeight="false" outlineLevel="0" collapsed="false">
      <c r="A689" s="12" t="n">
        <v>681</v>
      </c>
      <c r="B689" s="13"/>
      <c r="C689" s="12" t="str">
        <f aca="false">IF(B689="","",IF(B689=IFERROR(INDEX(設定!$B$18:$F$18,MATCH(入力!$B$4,設定!$A$23:$A$27,0)),""),1,0))</f>
        <v/>
      </c>
    </row>
    <row r="690" customFormat="false" ht="15" hidden="false" customHeight="false" outlineLevel="0" collapsed="false">
      <c r="A690" s="12" t="n">
        <v>682</v>
      </c>
      <c r="B690" s="13"/>
      <c r="C690" s="12" t="str">
        <f aca="false">IF(B690="","",IF(B690=IFERROR(INDEX(設定!$B$18:$F$18,MATCH(入力!$B$4,設定!$A$23:$A$27,0)),""),1,0))</f>
        <v/>
      </c>
    </row>
    <row r="691" customFormat="false" ht="15" hidden="false" customHeight="false" outlineLevel="0" collapsed="false">
      <c r="A691" s="12" t="n">
        <v>683</v>
      </c>
      <c r="B691" s="13"/>
      <c r="C691" s="12" t="str">
        <f aca="false">IF(B691="","",IF(B691=IFERROR(INDEX(設定!$B$18:$F$18,MATCH(入力!$B$4,設定!$A$23:$A$27,0)),""),1,0))</f>
        <v/>
      </c>
    </row>
    <row r="692" customFormat="false" ht="15" hidden="false" customHeight="false" outlineLevel="0" collapsed="false">
      <c r="A692" s="12" t="n">
        <v>684</v>
      </c>
      <c r="B692" s="13"/>
      <c r="C692" s="12" t="str">
        <f aca="false">IF(B692="","",IF(B692=IFERROR(INDEX(設定!$B$18:$F$18,MATCH(入力!$B$4,設定!$A$23:$A$27,0)),""),1,0))</f>
        <v/>
      </c>
    </row>
    <row r="693" customFormat="false" ht="15" hidden="false" customHeight="false" outlineLevel="0" collapsed="false">
      <c r="A693" s="12" t="n">
        <v>685</v>
      </c>
      <c r="B693" s="13"/>
      <c r="C693" s="12" t="str">
        <f aca="false">IF(B693="","",IF(B693=IFERROR(INDEX(設定!$B$18:$F$18,MATCH(入力!$B$4,設定!$A$23:$A$27,0)),""),1,0))</f>
        <v/>
      </c>
    </row>
    <row r="694" customFormat="false" ht="15" hidden="false" customHeight="false" outlineLevel="0" collapsed="false">
      <c r="A694" s="12" t="n">
        <v>686</v>
      </c>
      <c r="B694" s="13"/>
      <c r="C694" s="12" t="str">
        <f aca="false">IF(B694="","",IF(B694=IFERROR(INDEX(設定!$B$18:$F$18,MATCH(入力!$B$4,設定!$A$23:$A$27,0)),""),1,0))</f>
        <v/>
      </c>
    </row>
    <row r="695" customFormat="false" ht="15" hidden="false" customHeight="false" outlineLevel="0" collapsed="false">
      <c r="A695" s="12" t="n">
        <v>687</v>
      </c>
      <c r="B695" s="13"/>
      <c r="C695" s="12" t="str">
        <f aca="false">IF(B695="","",IF(B695=IFERROR(INDEX(設定!$B$18:$F$18,MATCH(入力!$B$4,設定!$A$23:$A$27,0)),""),1,0))</f>
        <v/>
      </c>
    </row>
    <row r="696" customFormat="false" ht="15" hidden="false" customHeight="false" outlineLevel="0" collapsed="false">
      <c r="A696" s="12" t="n">
        <v>688</v>
      </c>
      <c r="B696" s="13"/>
      <c r="C696" s="12" t="str">
        <f aca="false">IF(B696="","",IF(B696=IFERROR(INDEX(設定!$B$18:$F$18,MATCH(入力!$B$4,設定!$A$23:$A$27,0)),""),1,0))</f>
        <v/>
      </c>
    </row>
    <row r="697" customFormat="false" ht="15" hidden="false" customHeight="false" outlineLevel="0" collapsed="false">
      <c r="A697" s="12" t="n">
        <v>689</v>
      </c>
      <c r="B697" s="13"/>
      <c r="C697" s="12" t="str">
        <f aca="false">IF(B697="","",IF(B697=IFERROR(INDEX(設定!$B$18:$F$18,MATCH(入力!$B$4,設定!$A$23:$A$27,0)),""),1,0))</f>
        <v/>
      </c>
    </row>
    <row r="698" customFormat="false" ht="15" hidden="false" customHeight="false" outlineLevel="0" collapsed="false">
      <c r="A698" s="12" t="n">
        <v>690</v>
      </c>
      <c r="B698" s="13"/>
      <c r="C698" s="12" t="str">
        <f aca="false">IF(B698="","",IF(B698=IFERROR(INDEX(設定!$B$18:$F$18,MATCH(入力!$B$4,設定!$A$23:$A$27,0)),""),1,0))</f>
        <v/>
      </c>
    </row>
    <row r="699" customFormat="false" ht="15" hidden="false" customHeight="false" outlineLevel="0" collapsed="false">
      <c r="A699" s="12" t="n">
        <v>691</v>
      </c>
      <c r="B699" s="13"/>
      <c r="C699" s="12" t="str">
        <f aca="false">IF(B699="","",IF(B699=IFERROR(INDEX(設定!$B$18:$F$18,MATCH(入力!$B$4,設定!$A$23:$A$27,0)),""),1,0))</f>
        <v/>
      </c>
    </row>
    <row r="700" customFormat="false" ht="15" hidden="false" customHeight="false" outlineLevel="0" collapsed="false">
      <c r="A700" s="12" t="n">
        <v>692</v>
      </c>
      <c r="B700" s="13"/>
      <c r="C700" s="12" t="str">
        <f aca="false">IF(B700="","",IF(B700=IFERROR(INDEX(設定!$B$18:$F$18,MATCH(入力!$B$4,設定!$A$23:$A$27,0)),""),1,0))</f>
        <v/>
      </c>
    </row>
    <row r="701" customFormat="false" ht="15" hidden="false" customHeight="false" outlineLevel="0" collapsed="false">
      <c r="A701" s="12" t="n">
        <v>693</v>
      </c>
      <c r="B701" s="13"/>
      <c r="C701" s="12" t="str">
        <f aca="false">IF(B701="","",IF(B701=IFERROR(INDEX(設定!$B$18:$F$18,MATCH(入力!$B$4,設定!$A$23:$A$27,0)),""),1,0))</f>
        <v/>
      </c>
    </row>
    <row r="702" customFormat="false" ht="15" hidden="false" customHeight="false" outlineLevel="0" collapsed="false">
      <c r="A702" s="12" t="n">
        <v>694</v>
      </c>
      <c r="B702" s="13"/>
      <c r="C702" s="12" t="str">
        <f aca="false">IF(B702="","",IF(B702=IFERROR(INDEX(設定!$B$18:$F$18,MATCH(入力!$B$4,設定!$A$23:$A$27,0)),""),1,0))</f>
        <v/>
      </c>
    </row>
    <row r="703" customFormat="false" ht="15" hidden="false" customHeight="false" outlineLevel="0" collapsed="false">
      <c r="A703" s="12" t="n">
        <v>695</v>
      </c>
      <c r="B703" s="13"/>
      <c r="C703" s="12" t="str">
        <f aca="false">IF(B703="","",IF(B703=IFERROR(INDEX(設定!$B$18:$F$18,MATCH(入力!$B$4,設定!$A$23:$A$27,0)),""),1,0))</f>
        <v/>
      </c>
    </row>
    <row r="704" customFormat="false" ht="15" hidden="false" customHeight="false" outlineLevel="0" collapsed="false">
      <c r="A704" s="12" t="n">
        <v>696</v>
      </c>
      <c r="B704" s="13"/>
      <c r="C704" s="12" t="str">
        <f aca="false">IF(B704="","",IF(B704=IFERROR(INDEX(設定!$B$18:$F$18,MATCH(入力!$B$4,設定!$A$23:$A$27,0)),""),1,0))</f>
        <v/>
      </c>
    </row>
    <row r="705" customFormat="false" ht="15" hidden="false" customHeight="false" outlineLevel="0" collapsed="false">
      <c r="A705" s="12" t="n">
        <v>697</v>
      </c>
      <c r="B705" s="13"/>
      <c r="C705" s="12" t="str">
        <f aca="false">IF(B705="","",IF(B705=IFERROR(INDEX(設定!$B$18:$F$18,MATCH(入力!$B$4,設定!$A$23:$A$27,0)),""),1,0))</f>
        <v/>
      </c>
    </row>
    <row r="706" customFormat="false" ht="15" hidden="false" customHeight="false" outlineLevel="0" collapsed="false">
      <c r="A706" s="12" t="n">
        <v>698</v>
      </c>
      <c r="B706" s="13"/>
      <c r="C706" s="12" t="str">
        <f aca="false">IF(B706="","",IF(B706=IFERROR(INDEX(設定!$B$18:$F$18,MATCH(入力!$B$4,設定!$A$23:$A$27,0)),""),1,0))</f>
        <v/>
      </c>
    </row>
    <row r="707" customFormat="false" ht="15" hidden="false" customHeight="false" outlineLevel="0" collapsed="false">
      <c r="A707" s="12" t="n">
        <v>699</v>
      </c>
      <c r="B707" s="13"/>
      <c r="C707" s="12" t="str">
        <f aca="false">IF(B707="","",IF(B707=IFERROR(INDEX(設定!$B$18:$F$18,MATCH(入力!$B$4,設定!$A$23:$A$27,0)),""),1,0))</f>
        <v/>
      </c>
    </row>
    <row r="708" customFormat="false" ht="15" hidden="false" customHeight="false" outlineLevel="0" collapsed="false">
      <c r="A708" s="12" t="n">
        <v>700</v>
      </c>
      <c r="B708" s="13"/>
      <c r="C708" s="12" t="str">
        <f aca="false">IF(B708="","",IF(B708=IFERROR(INDEX(設定!$B$18:$F$18,MATCH(入力!$B$4,設定!$A$23:$A$27,0)),""),1,0))</f>
        <v/>
      </c>
    </row>
    <row r="709" customFormat="false" ht="15" hidden="false" customHeight="false" outlineLevel="0" collapsed="false">
      <c r="A709" s="12" t="n">
        <v>701</v>
      </c>
      <c r="B709" s="13"/>
      <c r="C709" s="12" t="str">
        <f aca="false">IF(B709="","",IF(B709=IFERROR(INDEX(設定!$B$18:$F$18,MATCH(入力!$B$4,設定!$A$23:$A$27,0)),""),1,0))</f>
        <v/>
      </c>
    </row>
    <row r="710" customFormat="false" ht="15" hidden="false" customHeight="false" outlineLevel="0" collapsed="false">
      <c r="A710" s="12" t="n">
        <v>702</v>
      </c>
      <c r="B710" s="13"/>
      <c r="C710" s="12" t="str">
        <f aca="false">IF(B710="","",IF(B710=IFERROR(INDEX(設定!$B$18:$F$18,MATCH(入力!$B$4,設定!$A$23:$A$27,0)),""),1,0))</f>
        <v/>
      </c>
    </row>
    <row r="711" customFormat="false" ht="15" hidden="false" customHeight="false" outlineLevel="0" collapsed="false">
      <c r="A711" s="12" t="n">
        <v>703</v>
      </c>
      <c r="B711" s="13"/>
      <c r="C711" s="12" t="str">
        <f aca="false">IF(B711="","",IF(B711=IFERROR(INDEX(設定!$B$18:$F$18,MATCH(入力!$B$4,設定!$A$23:$A$27,0)),""),1,0))</f>
        <v/>
      </c>
    </row>
    <row r="712" customFormat="false" ht="15" hidden="false" customHeight="false" outlineLevel="0" collapsed="false">
      <c r="A712" s="12" t="n">
        <v>704</v>
      </c>
      <c r="B712" s="13"/>
      <c r="C712" s="12" t="str">
        <f aca="false">IF(B712="","",IF(B712=IFERROR(INDEX(設定!$B$18:$F$18,MATCH(入力!$B$4,設定!$A$23:$A$27,0)),""),1,0))</f>
        <v/>
      </c>
    </row>
    <row r="713" customFormat="false" ht="15" hidden="false" customHeight="false" outlineLevel="0" collapsed="false">
      <c r="A713" s="12" t="n">
        <v>705</v>
      </c>
      <c r="B713" s="13"/>
      <c r="C713" s="12" t="str">
        <f aca="false">IF(B713="","",IF(B713=IFERROR(INDEX(設定!$B$18:$F$18,MATCH(入力!$B$4,設定!$A$23:$A$27,0)),""),1,0))</f>
        <v/>
      </c>
    </row>
    <row r="714" customFormat="false" ht="15" hidden="false" customHeight="false" outlineLevel="0" collapsed="false">
      <c r="A714" s="12" t="n">
        <v>706</v>
      </c>
      <c r="B714" s="13"/>
      <c r="C714" s="12" t="str">
        <f aca="false">IF(B714="","",IF(B714=IFERROR(INDEX(設定!$B$18:$F$18,MATCH(入力!$B$4,設定!$A$23:$A$27,0)),""),1,0))</f>
        <v/>
      </c>
    </row>
    <row r="715" customFormat="false" ht="15" hidden="false" customHeight="false" outlineLevel="0" collapsed="false">
      <c r="A715" s="12" t="n">
        <v>707</v>
      </c>
      <c r="B715" s="13"/>
      <c r="C715" s="12" t="str">
        <f aca="false">IF(B715="","",IF(B715=IFERROR(INDEX(設定!$B$18:$F$18,MATCH(入力!$B$4,設定!$A$23:$A$27,0)),""),1,0))</f>
        <v/>
      </c>
    </row>
    <row r="716" customFormat="false" ht="15" hidden="false" customHeight="false" outlineLevel="0" collapsed="false">
      <c r="A716" s="12" t="n">
        <v>708</v>
      </c>
      <c r="B716" s="13"/>
      <c r="C716" s="12" t="str">
        <f aca="false">IF(B716="","",IF(B716=IFERROR(INDEX(設定!$B$18:$F$18,MATCH(入力!$B$4,設定!$A$23:$A$27,0)),""),1,0))</f>
        <v/>
      </c>
    </row>
    <row r="717" customFormat="false" ht="15" hidden="false" customHeight="false" outlineLevel="0" collapsed="false">
      <c r="A717" s="12" t="n">
        <v>709</v>
      </c>
      <c r="B717" s="13"/>
      <c r="C717" s="12" t="str">
        <f aca="false">IF(B717="","",IF(B717=IFERROR(INDEX(設定!$B$18:$F$18,MATCH(入力!$B$4,設定!$A$23:$A$27,0)),""),1,0))</f>
        <v/>
      </c>
    </row>
    <row r="718" customFormat="false" ht="15" hidden="false" customHeight="false" outlineLevel="0" collapsed="false">
      <c r="A718" s="12" t="n">
        <v>710</v>
      </c>
      <c r="B718" s="13"/>
      <c r="C718" s="12" t="str">
        <f aca="false">IF(B718="","",IF(B718=IFERROR(INDEX(設定!$B$18:$F$18,MATCH(入力!$B$4,設定!$A$23:$A$27,0)),""),1,0))</f>
        <v/>
      </c>
    </row>
    <row r="719" customFormat="false" ht="15" hidden="false" customHeight="false" outlineLevel="0" collapsed="false">
      <c r="A719" s="12" t="n">
        <v>711</v>
      </c>
      <c r="B719" s="13"/>
      <c r="C719" s="12" t="str">
        <f aca="false">IF(B719="","",IF(B719=IFERROR(INDEX(設定!$B$18:$F$18,MATCH(入力!$B$4,設定!$A$23:$A$27,0)),""),1,0))</f>
        <v/>
      </c>
    </row>
    <row r="720" customFormat="false" ht="15" hidden="false" customHeight="false" outlineLevel="0" collapsed="false">
      <c r="A720" s="12" t="n">
        <v>712</v>
      </c>
      <c r="B720" s="13"/>
      <c r="C720" s="12" t="str">
        <f aca="false">IF(B720="","",IF(B720=IFERROR(INDEX(設定!$B$18:$F$18,MATCH(入力!$B$4,設定!$A$23:$A$27,0)),""),1,0))</f>
        <v/>
      </c>
    </row>
    <row r="721" customFormat="false" ht="15" hidden="false" customHeight="false" outlineLevel="0" collapsed="false">
      <c r="A721" s="12" t="n">
        <v>713</v>
      </c>
      <c r="B721" s="13"/>
      <c r="C721" s="12" t="str">
        <f aca="false">IF(B721="","",IF(B721=IFERROR(INDEX(設定!$B$18:$F$18,MATCH(入力!$B$4,設定!$A$23:$A$27,0)),""),1,0))</f>
        <v/>
      </c>
    </row>
    <row r="722" customFormat="false" ht="15" hidden="false" customHeight="false" outlineLevel="0" collapsed="false">
      <c r="A722" s="12" t="n">
        <v>714</v>
      </c>
      <c r="B722" s="13"/>
      <c r="C722" s="12" t="str">
        <f aca="false">IF(B722="","",IF(B722=IFERROR(INDEX(設定!$B$18:$F$18,MATCH(入力!$B$4,設定!$A$23:$A$27,0)),""),1,0))</f>
        <v/>
      </c>
    </row>
    <row r="723" customFormat="false" ht="15" hidden="false" customHeight="false" outlineLevel="0" collapsed="false">
      <c r="A723" s="12" t="n">
        <v>715</v>
      </c>
      <c r="B723" s="13"/>
      <c r="C723" s="12" t="str">
        <f aca="false">IF(B723="","",IF(B723=IFERROR(INDEX(設定!$B$18:$F$18,MATCH(入力!$B$4,設定!$A$23:$A$27,0)),""),1,0))</f>
        <v/>
      </c>
    </row>
    <row r="724" customFormat="false" ht="15" hidden="false" customHeight="false" outlineLevel="0" collapsed="false">
      <c r="A724" s="12" t="n">
        <v>716</v>
      </c>
      <c r="B724" s="13"/>
      <c r="C724" s="12" t="str">
        <f aca="false">IF(B724="","",IF(B724=IFERROR(INDEX(設定!$B$18:$F$18,MATCH(入力!$B$4,設定!$A$23:$A$27,0)),""),1,0))</f>
        <v/>
      </c>
    </row>
    <row r="725" customFormat="false" ht="15" hidden="false" customHeight="false" outlineLevel="0" collapsed="false">
      <c r="A725" s="12" t="n">
        <v>717</v>
      </c>
      <c r="B725" s="13"/>
      <c r="C725" s="12" t="str">
        <f aca="false">IF(B725="","",IF(B725=IFERROR(INDEX(設定!$B$18:$F$18,MATCH(入力!$B$4,設定!$A$23:$A$27,0)),""),1,0))</f>
        <v/>
      </c>
    </row>
    <row r="726" customFormat="false" ht="15" hidden="false" customHeight="false" outlineLevel="0" collapsed="false">
      <c r="A726" s="12" t="n">
        <v>718</v>
      </c>
      <c r="B726" s="13"/>
      <c r="C726" s="12" t="str">
        <f aca="false">IF(B726="","",IF(B726=IFERROR(INDEX(設定!$B$18:$F$18,MATCH(入力!$B$4,設定!$A$23:$A$27,0)),""),1,0))</f>
        <v/>
      </c>
    </row>
    <row r="727" customFormat="false" ht="15" hidden="false" customHeight="false" outlineLevel="0" collapsed="false">
      <c r="A727" s="12" t="n">
        <v>719</v>
      </c>
      <c r="B727" s="13"/>
      <c r="C727" s="12" t="str">
        <f aca="false">IF(B727="","",IF(B727=IFERROR(INDEX(設定!$B$18:$F$18,MATCH(入力!$B$4,設定!$A$23:$A$27,0)),""),1,0))</f>
        <v/>
      </c>
    </row>
    <row r="728" customFormat="false" ht="15" hidden="false" customHeight="false" outlineLevel="0" collapsed="false">
      <c r="A728" s="12" t="n">
        <v>720</v>
      </c>
      <c r="B728" s="13"/>
      <c r="C728" s="12" t="str">
        <f aca="false">IF(B728="","",IF(B728=IFERROR(INDEX(設定!$B$18:$F$18,MATCH(入力!$B$4,設定!$A$23:$A$27,0)),""),1,0))</f>
        <v/>
      </c>
    </row>
    <row r="729" customFormat="false" ht="15" hidden="false" customHeight="false" outlineLevel="0" collapsed="false">
      <c r="A729" s="12" t="n">
        <v>721</v>
      </c>
      <c r="B729" s="13"/>
      <c r="C729" s="12" t="str">
        <f aca="false">IF(B729="","",IF(B729=IFERROR(INDEX(設定!$B$18:$F$18,MATCH(入力!$B$4,設定!$A$23:$A$27,0)),""),1,0))</f>
        <v/>
      </c>
    </row>
    <row r="730" customFormat="false" ht="15" hidden="false" customHeight="false" outlineLevel="0" collapsed="false">
      <c r="A730" s="12" t="n">
        <v>722</v>
      </c>
      <c r="B730" s="13"/>
      <c r="C730" s="12" t="str">
        <f aca="false">IF(B730="","",IF(B730=IFERROR(INDEX(設定!$B$18:$F$18,MATCH(入力!$B$4,設定!$A$23:$A$27,0)),""),1,0))</f>
        <v/>
      </c>
    </row>
    <row r="731" customFormat="false" ht="15" hidden="false" customHeight="false" outlineLevel="0" collapsed="false">
      <c r="A731" s="12" t="n">
        <v>723</v>
      </c>
      <c r="B731" s="13"/>
      <c r="C731" s="12" t="str">
        <f aca="false">IF(B731="","",IF(B731=IFERROR(INDEX(設定!$B$18:$F$18,MATCH(入力!$B$4,設定!$A$23:$A$27,0)),""),1,0))</f>
        <v/>
      </c>
    </row>
    <row r="732" customFormat="false" ht="15" hidden="false" customHeight="false" outlineLevel="0" collapsed="false">
      <c r="A732" s="12" t="n">
        <v>724</v>
      </c>
      <c r="B732" s="13"/>
      <c r="C732" s="12" t="str">
        <f aca="false">IF(B732="","",IF(B732=IFERROR(INDEX(設定!$B$18:$F$18,MATCH(入力!$B$4,設定!$A$23:$A$27,0)),""),1,0))</f>
        <v/>
      </c>
    </row>
    <row r="733" customFormat="false" ht="15" hidden="false" customHeight="false" outlineLevel="0" collapsed="false">
      <c r="A733" s="12" t="n">
        <v>725</v>
      </c>
      <c r="B733" s="13"/>
      <c r="C733" s="12" t="str">
        <f aca="false">IF(B733="","",IF(B733=IFERROR(INDEX(設定!$B$18:$F$18,MATCH(入力!$B$4,設定!$A$23:$A$27,0)),""),1,0))</f>
        <v/>
      </c>
    </row>
    <row r="734" customFormat="false" ht="15" hidden="false" customHeight="false" outlineLevel="0" collapsed="false">
      <c r="A734" s="12" t="n">
        <v>726</v>
      </c>
      <c r="B734" s="13"/>
      <c r="C734" s="12" t="str">
        <f aca="false">IF(B734="","",IF(B734=IFERROR(INDEX(設定!$B$18:$F$18,MATCH(入力!$B$4,設定!$A$23:$A$27,0)),""),1,0))</f>
        <v/>
      </c>
    </row>
    <row r="735" customFormat="false" ht="15" hidden="false" customHeight="false" outlineLevel="0" collapsed="false">
      <c r="A735" s="12" t="n">
        <v>727</v>
      </c>
      <c r="B735" s="13"/>
      <c r="C735" s="12" t="str">
        <f aca="false">IF(B735="","",IF(B735=IFERROR(INDEX(設定!$B$18:$F$18,MATCH(入力!$B$4,設定!$A$23:$A$27,0)),""),1,0))</f>
        <v/>
      </c>
    </row>
    <row r="736" customFormat="false" ht="15" hidden="false" customHeight="false" outlineLevel="0" collapsed="false">
      <c r="A736" s="12" t="n">
        <v>728</v>
      </c>
      <c r="B736" s="13"/>
      <c r="C736" s="12" t="str">
        <f aca="false">IF(B736="","",IF(B736=IFERROR(INDEX(設定!$B$18:$F$18,MATCH(入力!$B$4,設定!$A$23:$A$27,0)),""),1,0))</f>
        <v/>
      </c>
    </row>
    <row r="737" customFormat="false" ht="15" hidden="false" customHeight="false" outlineLevel="0" collapsed="false">
      <c r="A737" s="12" t="n">
        <v>729</v>
      </c>
      <c r="B737" s="13"/>
      <c r="C737" s="12" t="str">
        <f aca="false">IF(B737="","",IF(B737=IFERROR(INDEX(設定!$B$18:$F$18,MATCH(入力!$B$4,設定!$A$23:$A$27,0)),""),1,0))</f>
        <v/>
      </c>
    </row>
    <row r="738" customFormat="false" ht="15" hidden="false" customHeight="false" outlineLevel="0" collapsed="false">
      <c r="A738" s="12" t="n">
        <v>730</v>
      </c>
      <c r="B738" s="13"/>
      <c r="C738" s="12" t="str">
        <f aca="false">IF(B738="","",IF(B738=IFERROR(INDEX(設定!$B$18:$F$18,MATCH(入力!$B$4,設定!$A$23:$A$27,0)),""),1,0))</f>
        <v/>
      </c>
    </row>
    <row r="739" customFormat="false" ht="15" hidden="false" customHeight="false" outlineLevel="0" collapsed="false">
      <c r="A739" s="12" t="n">
        <v>731</v>
      </c>
      <c r="B739" s="13"/>
      <c r="C739" s="12" t="str">
        <f aca="false">IF(B739="","",IF(B739=IFERROR(INDEX(設定!$B$18:$F$18,MATCH(入力!$B$4,設定!$A$23:$A$27,0)),""),1,0))</f>
        <v/>
      </c>
    </row>
    <row r="740" customFormat="false" ht="15" hidden="false" customHeight="false" outlineLevel="0" collapsed="false">
      <c r="A740" s="12" t="n">
        <v>732</v>
      </c>
      <c r="B740" s="13"/>
      <c r="C740" s="12" t="str">
        <f aca="false">IF(B740="","",IF(B740=IFERROR(INDEX(設定!$B$18:$F$18,MATCH(入力!$B$4,設定!$A$23:$A$27,0)),""),1,0))</f>
        <v/>
      </c>
    </row>
    <row r="741" customFormat="false" ht="15" hidden="false" customHeight="false" outlineLevel="0" collapsed="false">
      <c r="A741" s="12" t="n">
        <v>733</v>
      </c>
      <c r="B741" s="13"/>
      <c r="C741" s="12" t="str">
        <f aca="false">IF(B741="","",IF(B741=IFERROR(INDEX(設定!$B$18:$F$18,MATCH(入力!$B$4,設定!$A$23:$A$27,0)),""),1,0))</f>
        <v/>
      </c>
    </row>
    <row r="742" customFormat="false" ht="15" hidden="false" customHeight="false" outlineLevel="0" collapsed="false">
      <c r="A742" s="12" t="n">
        <v>734</v>
      </c>
      <c r="B742" s="13"/>
      <c r="C742" s="12" t="str">
        <f aca="false">IF(B742="","",IF(B742=IFERROR(INDEX(設定!$B$18:$F$18,MATCH(入力!$B$4,設定!$A$23:$A$27,0)),""),1,0))</f>
        <v/>
      </c>
    </row>
    <row r="743" customFormat="false" ht="15" hidden="false" customHeight="false" outlineLevel="0" collapsed="false">
      <c r="A743" s="12" t="n">
        <v>735</v>
      </c>
      <c r="B743" s="13"/>
      <c r="C743" s="12" t="str">
        <f aca="false">IF(B743="","",IF(B743=IFERROR(INDEX(設定!$B$18:$F$18,MATCH(入力!$B$4,設定!$A$23:$A$27,0)),""),1,0))</f>
        <v/>
      </c>
    </row>
    <row r="744" customFormat="false" ht="15" hidden="false" customHeight="false" outlineLevel="0" collapsed="false">
      <c r="A744" s="12" t="n">
        <v>736</v>
      </c>
      <c r="B744" s="13"/>
      <c r="C744" s="12" t="str">
        <f aca="false">IF(B744="","",IF(B744=IFERROR(INDEX(設定!$B$18:$F$18,MATCH(入力!$B$4,設定!$A$23:$A$27,0)),""),1,0))</f>
        <v/>
      </c>
    </row>
    <row r="745" customFormat="false" ht="15" hidden="false" customHeight="false" outlineLevel="0" collapsed="false">
      <c r="A745" s="12" t="n">
        <v>737</v>
      </c>
      <c r="B745" s="13"/>
      <c r="C745" s="12" t="str">
        <f aca="false">IF(B745="","",IF(B745=IFERROR(INDEX(設定!$B$18:$F$18,MATCH(入力!$B$4,設定!$A$23:$A$27,0)),""),1,0))</f>
        <v/>
      </c>
    </row>
    <row r="746" customFormat="false" ht="15" hidden="false" customHeight="false" outlineLevel="0" collapsed="false">
      <c r="A746" s="12" t="n">
        <v>738</v>
      </c>
      <c r="B746" s="13"/>
      <c r="C746" s="12" t="str">
        <f aca="false">IF(B746="","",IF(B746=IFERROR(INDEX(設定!$B$18:$F$18,MATCH(入力!$B$4,設定!$A$23:$A$27,0)),""),1,0))</f>
        <v/>
      </c>
    </row>
    <row r="747" customFormat="false" ht="15" hidden="false" customHeight="false" outlineLevel="0" collapsed="false">
      <c r="A747" s="12" t="n">
        <v>739</v>
      </c>
      <c r="B747" s="13"/>
      <c r="C747" s="12" t="str">
        <f aca="false">IF(B747="","",IF(B747=IFERROR(INDEX(設定!$B$18:$F$18,MATCH(入力!$B$4,設定!$A$23:$A$27,0)),""),1,0))</f>
        <v/>
      </c>
    </row>
    <row r="748" customFormat="false" ht="15" hidden="false" customHeight="false" outlineLevel="0" collapsed="false">
      <c r="A748" s="12" t="n">
        <v>740</v>
      </c>
      <c r="B748" s="13"/>
      <c r="C748" s="12" t="str">
        <f aca="false">IF(B748="","",IF(B748=IFERROR(INDEX(設定!$B$18:$F$18,MATCH(入力!$B$4,設定!$A$23:$A$27,0)),""),1,0))</f>
        <v/>
      </c>
    </row>
    <row r="749" customFormat="false" ht="15" hidden="false" customHeight="false" outlineLevel="0" collapsed="false">
      <c r="A749" s="12" t="n">
        <v>741</v>
      </c>
      <c r="B749" s="13"/>
      <c r="C749" s="12" t="str">
        <f aca="false">IF(B749="","",IF(B749=IFERROR(INDEX(設定!$B$18:$F$18,MATCH(入力!$B$4,設定!$A$23:$A$27,0)),""),1,0))</f>
        <v/>
      </c>
    </row>
    <row r="750" customFormat="false" ht="15" hidden="false" customHeight="false" outlineLevel="0" collapsed="false">
      <c r="A750" s="12" t="n">
        <v>742</v>
      </c>
      <c r="B750" s="13"/>
      <c r="C750" s="12" t="str">
        <f aca="false">IF(B750="","",IF(B750=IFERROR(INDEX(設定!$B$18:$F$18,MATCH(入力!$B$4,設定!$A$23:$A$27,0)),""),1,0))</f>
        <v/>
      </c>
    </row>
    <row r="751" customFormat="false" ht="15" hidden="false" customHeight="false" outlineLevel="0" collapsed="false">
      <c r="A751" s="12" t="n">
        <v>743</v>
      </c>
      <c r="B751" s="13"/>
      <c r="C751" s="12" t="str">
        <f aca="false">IF(B751="","",IF(B751=IFERROR(INDEX(設定!$B$18:$F$18,MATCH(入力!$B$4,設定!$A$23:$A$27,0)),""),1,0))</f>
        <v/>
      </c>
    </row>
    <row r="752" customFormat="false" ht="15" hidden="false" customHeight="false" outlineLevel="0" collapsed="false">
      <c r="A752" s="12" t="n">
        <v>744</v>
      </c>
      <c r="B752" s="13"/>
      <c r="C752" s="12" t="str">
        <f aca="false">IF(B752="","",IF(B752=IFERROR(INDEX(設定!$B$18:$F$18,MATCH(入力!$B$4,設定!$A$23:$A$27,0)),""),1,0))</f>
        <v/>
      </c>
    </row>
    <row r="753" customFormat="false" ht="15" hidden="false" customHeight="false" outlineLevel="0" collapsed="false">
      <c r="A753" s="12" t="n">
        <v>745</v>
      </c>
      <c r="B753" s="13"/>
      <c r="C753" s="12" t="str">
        <f aca="false">IF(B753="","",IF(B753=IFERROR(INDEX(設定!$B$18:$F$18,MATCH(入力!$B$4,設定!$A$23:$A$27,0)),""),1,0))</f>
        <v/>
      </c>
    </row>
    <row r="754" customFormat="false" ht="15" hidden="false" customHeight="false" outlineLevel="0" collapsed="false">
      <c r="A754" s="12" t="n">
        <v>746</v>
      </c>
      <c r="B754" s="13"/>
      <c r="C754" s="12" t="str">
        <f aca="false">IF(B754="","",IF(B754=IFERROR(INDEX(設定!$B$18:$F$18,MATCH(入力!$B$4,設定!$A$23:$A$27,0)),""),1,0))</f>
        <v/>
      </c>
    </row>
    <row r="755" customFormat="false" ht="15" hidden="false" customHeight="false" outlineLevel="0" collapsed="false">
      <c r="A755" s="12" t="n">
        <v>747</v>
      </c>
      <c r="B755" s="13"/>
      <c r="C755" s="12" t="str">
        <f aca="false">IF(B755="","",IF(B755=IFERROR(INDEX(設定!$B$18:$F$18,MATCH(入力!$B$4,設定!$A$23:$A$27,0)),""),1,0))</f>
        <v/>
      </c>
    </row>
    <row r="756" customFormat="false" ht="15" hidden="false" customHeight="false" outlineLevel="0" collapsed="false">
      <c r="A756" s="12" t="n">
        <v>748</v>
      </c>
      <c r="B756" s="13"/>
      <c r="C756" s="12" t="str">
        <f aca="false">IF(B756="","",IF(B756=IFERROR(INDEX(設定!$B$18:$F$18,MATCH(入力!$B$4,設定!$A$23:$A$27,0)),""),1,0))</f>
        <v/>
      </c>
    </row>
    <row r="757" customFormat="false" ht="15" hidden="false" customHeight="false" outlineLevel="0" collapsed="false">
      <c r="A757" s="12" t="n">
        <v>749</v>
      </c>
      <c r="B757" s="13"/>
      <c r="C757" s="12" t="str">
        <f aca="false">IF(B757="","",IF(B757=IFERROR(INDEX(設定!$B$18:$F$18,MATCH(入力!$B$4,設定!$A$23:$A$27,0)),""),1,0))</f>
        <v/>
      </c>
    </row>
    <row r="758" customFormat="false" ht="15" hidden="false" customHeight="false" outlineLevel="0" collapsed="false">
      <c r="A758" s="12" t="n">
        <v>750</v>
      </c>
      <c r="B758" s="13"/>
      <c r="C758" s="12" t="str">
        <f aca="false">IF(B758="","",IF(B758=IFERROR(INDEX(設定!$B$18:$F$18,MATCH(入力!$B$4,設定!$A$23:$A$27,0)),""),1,0))</f>
        <v/>
      </c>
    </row>
    <row r="759" customFormat="false" ht="15" hidden="false" customHeight="false" outlineLevel="0" collapsed="false">
      <c r="A759" s="12" t="n">
        <v>751</v>
      </c>
      <c r="B759" s="13"/>
      <c r="C759" s="12" t="str">
        <f aca="false">IF(B759="","",IF(B759=IFERROR(INDEX(設定!$B$18:$F$18,MATCH(入力!$B$4,設定!$A$23:$A$27,0)),""),1,0))</f>
        <v/>
      </c>
    </row>
    <row r="760" customFormat="false" ht="15" hidden="false" customHeight="false" outlineLevel="0" collapsed="false">
      <c r="A760" s="12" t="n">
        <v>752</v>
      </c>
      <c r="B760" s="13"/>
      <c r="C760" s="12" t="str">
        <f aca="false">IF(B760="","",IF(B760=IFERROR(INDEX(設定!$B$18:$F$18,MATCH(入力!$B$4,設定!$A$23:$A$27,0)),""),1,0))</f>
        <v/>
      </c>
    </row>
    <row r="761" customFormat="false" ht="15" hidden="false" customHeight="false" outlineLevel="0" collapsed="false">
      <c r="A761" s="12" t="n">
        <v>753</v>
      </c>
      <c r="B761" s="13"/>
      <c r="C761" s="12" t="str">
        <f aca="false">IF(B761="","",IF(B761=IFERROR(INDEX(設定!$B$18:$F$18,MATCH(入力!$B$4,設定!$A$23:$A$27,0)),""),1,0))</f>
        <v/>
      </c>
    </row>
    <row r="762" customFormat="false" ht="15" hidden="false" customHeight="false" outlineLevel="0" collapsed="false">
      <c r="A762" s="12" t="n">
        <v>754</v>
      </c>
      <c r="B762" s="13"/>
      <c r="C762" s="12" t="str">
        <f aca="false">IF(B762="","",IF(B762=IFERROR(INDEX(設定!$B$18:$F$18,MATCH(入力!$B$4,設定!$A$23:$A$27,0)),""),1,0))</f>
        <v/>
      </c>
    </row>
    <row r="763" customFormat="false" ht="15" hidden="false" customHeight="false" outlineLevel="0" collapsed="false">
      <c r="A763" s="12" t="n">
        <v>755</v>
      </c>
      <c r="B763" s="13"/>
      <c r="C763" s="12" t="str">
        <f aca="false">IF(B763="","",IF(B763=IFERROR(INDEX(設定!$B$18:$F$18,MATCH(入力!$B$4,設定!$A$23:$A$27,0)),""),1,0))</f>
        <v/>
      </c>
    </row>
    <row r="764" customFormat="false" ht="15" hidden="false" customHeight="false" outlineLevel="0" collapsed="false">
      <c r="A764" s="12" t="n">
        <v>756</v>
      </c>
      <c r="B764" s="13"/>
      <c r="C764" s="12" t="str">
        <f aca="false">IF(B764="","",IF(B764=IFERROR(INDEX(設定!$B$18:$F$18,MATCH(入力!$B$4,設定!$A$23:$A$27,0)),""),1,0))</f>
        <v/>
      </c>
    </row>
    <row r="765" customFormat="false" ht="15" hidden="false" customHeight="false" outlineLevel="0" collapsed="false">
      <c r="A765" s="12" t="n">
        <v>757</v>
      </c>
      <c r="B765" s="13"/>
      <c r="C765" s="12" t="str">
        <f aca="false">IF(B765="","",IF(B765=IFERROR(INDEX(設定!$B$18:$F$18,MATCH(入力!$B$4,設定!$A$23:$A$27,0)),""),1,0))</f>
        <v/>
      </c>
    </row>
    <row r="766" customFormat="false" ht="15" hidden="false" customHeight="false" outlineLevel="0" collapsed="false">
      <c r="A766" s="12" t="n">
        <v>758</v>
      </c>
      <c r="B766" s="13"/>
      <c r="C766" s="12" t="str">
        <f aca="false">IF(B766="","",IF(B766=IFERROR(INDEX(設定!$B$18:$F$18,MATCH(入力!$B$4,設定!$A$23:$A$27,0)),""),1,0))</f>
        <v/>
      </c>
    </row>
    <row r="767" customFormat="false" ht="15" hidden="false" customHeight="false" outlineLevel="0" collapsed="false">
      <c r="A767" s="12" t="n">
        <v>759</v>
      </c>
      <c r="B767" s="13"/>
      <c r="C767" s="12" t="str">
        <f aca="false">IF(B767="","",IF(B767=IFERROR(INDEX(設定!$B$18:$F$18,MATCH(入力!$B$4,設定!$A$23:$A$27,0)),""),1,0))</f>
        <v/>
      </c>
    </row>
    <row r="768" customFormat="false" ht="15" hidden="false" customHeight="false" outlineLevel="0" collapsed="false">
      <c r="A768" s="12" t="n">
        <v>760</v>
      </c>
      <c r="B768" s="13"/>
      <c r="C768" s="12" t="str">
        <f aca="false">IF(B768="","",IF(B768=IFERROR(INDEX(設定!$B$18:$F$18,MATCH(入力!$B$4,設定!$A$23:$A$27,0)),""),1,0))</f>
        <v/>
      </c>
    </row>
    <row r="769" customFormat="false" ht="15" hidden="false" customHeight="false" outlineLevel="0" collapsed="false">
      <c r="A769" s="12" t="n">
        <v>761</v>
      </c>
      <c r="B769" s="13"/>
      <c r="C769" s="12" t="str">
        <f aca="false">IF(B769="","",IF(B769=IFERROR(INDEX(設定!$B$18:$F$18,MATCH(入力!$B$4,設定!$A$23:$A$27,0)),""),1,0))</f>
        <v/>
      </c>
    </row>
    <row r="770" customFormat="false" ht="15" hidden="false" customHeight="false" outlineLevel="0" collapsed="false">
      <c r="A770" s="12" t="n">
        <v>762</v>
      </c>
      <c r="B770" s="13"/>
      <c r="C770" s="12" t="str">
        <f aca="false">IF(B770="","",IF(B770=IFERROR(INDEX(設定!$B$18:$F$18,MATCH(入力!$B$4,設定!$A$23:$A$27,0)),""),1,0))</f>
        <v/>
      </c>
    </row>
    <row r="771" customFormat="false" ht="15" hidden="false" customHeight="false" outlineLevel="0" collapsed="false">
      <c r="A771" s="12" t="n">
        <v>763</v>
      </c>
      <c r="B771" s="13"/>
      <c r="C771" s="12" t="str">
        <f aca="false">IF(B771="","",IF(B771=IFERROR(INDEX(設定!$B$18:$F$18,MATCH(入力!$B$4,設定!$A$23:$A$27,0)),""),1,0))</f>
        <v/>
      </c>
    </row>
    <row r="772" customFormat="false" ht="15" hidden="false" customHeight="false" outlineLevel="0" collapsed="false">
      <c r="A772" s="12" t="n">
        <v>764</v>
      </c>
      <c r="B772" s="13"/>
      <c r="C772" s="12" t="str">
        <f aca="false">IF(B772="","",IF(B772=IFERROR(INDEX(設定!$B$18:$F$18,MATCH(入力!$B$4,設定!$A$23:$A$27,0)),""),1,0))</f>
        <v/>
      </c>
    </row>
    <row r="773" customFormat="false" ht="15" hidden="false" customHeight="false" outlineLevel="0" collapsed="false">
      <c r="A773" s="12" t="n">
        <v>765</v>
      </c>
      <c r="B773" s="13"/>
      <c r="C773" s="12" t="str">
        <f aca="false">IF(B773="","",IF(B773=IFERROR(INDEX(設定!$B$18:$F$18,MATCH(入力!$B$4,設定!$A$23:$A$27,0)),""),1,0))</f>
        <v/>
      </c>
    </row>
    <row r="774" customFormat="false" ht="15" hidden="false" customHeight="false" outlineLevel="0" collapsed="false">
      <c r="A774" s="12" t="n">
        <v>766</v>
      </c>
      <c r="B774" s="13"/>
      <c r="C774" s="12" t="str">
        <f aca="false">IF(B774="","",IF(B774=IFERROR(INDEX(設定!$B$18:$F$18,MATCH(入力!$B$4,設定!$A$23:$A$27,0)),""),1,0))</f>
        <v/>
      </c>
    </row>
    <row r="775" customFormat="false" ht="15" hidden="false" customHeight="false" outlineLevel="0" collapsed="false">
      <c r="A775" s="12" t="n">
        <v>767</v>
      </c>
      <c r="B775" s="13"/>
      <c r="C775" s="12" t="str">
        <f aca="false">IF(B775="","",IF(B775=IFERROR(INDEX(設定!$B$18:$F$18,MATCH(入力!$B$4,設定!$A$23:$A$27,0)),""),1,0))</f>
        <v/>
      </c>
    </row>
    <row r="776" customFormat="false" ht="15" hidden="false" customHeight="false" outlineLevel="0" collapsed="false">
      <c r="A776" s="12" t="n">
        <v>768</v>
      </c>
      <c r="B776" s="13"/>
      <c r="C776" s="12" t="str">
        <f aca="false">IF(B776="","",IF(B776=IFERROR(INDEX(設定!$B$18:$F$18,MATCH(入力!$B$4,設定!$A$23:$A$27,0)),""),1,0))</f>
        <v/>
      </c>
    </row>
    <row r="777" customFormat="false" ht="15" hidden="false" customHeight="false" outlineLevel="0" collapsed="false">
      <c r="A777" s="12" t="n">
        <v>769</v>
      </c>
      <c r="B777" s="13"/>
      <c r="C777" s="12" t="str">
        <f aca="false">IF(B777="","",IF(B777=IFERROR(INDEX(設定!$B$18:$F$18,MATCH(入力!$B$4,設定!$A$23:$A$27,0)),""),1,0))</f>
        <v/>
      </c>
    </row>
    <row r="778" customFormat="false" ht="15" hidden="false" customHeight="false" outlineLevel="0" collapsed="false">
      <c r="A778" s="12" t="n">
        <v>770</v>
      </c>
      <c r="B778" s="13"/>
      <c r="C778" s="12" t="str">
        <f aca="false">IF(B778="","",IF(B778=IFERROR(INDEX(設定!$B$18:$F$18,MATCH(入力!$B$4,設定!$A$23:$A$27,0)),""),1,0))</f>
        <v/>
      </c>
    </row>
    <row r="779" customFormat="false" ht="15" hidden="false" customHeight="false" outlineLevel="0" collapsed="false">
      <c r="A779" s="12" t="n">
        <v>771</v>
      </c>
      <c r="B779" s="13"/>
      <c r="C779" s="12" t="str">
        <f aca="false">IF(B779="","",IF(B779=IFERROR(INDEX(設定!$B$18:$F$18,MATCH(入力!$B$4,設定!$A$23:$A$27,0)),""),1,0))</f>
        <v/>
      </c>
    </row>
    <row r="780" customFormat="false" ht="15" hidden="false" customHeight="false" outlineLevel="0" collapsed="false">
      <c r="A780" s="12" t="n">
        <v>772</v>
      </c>
      <c r="B780" s="13"/>
      <c r="C780" s="12" t="str">
        <f aca="false">IF(B780="","",IF(B780=IFERROR(INDEX(設定!$B$18:$F$18,MATCH(入力!$B$4,設定!$A$23:$A$27,0)),""),1,0))</f>
        <v/>
      </c>
    </row>
    <row r="781" customFormat="false" ht="15" hidden="false" customHeight="false" outlineLevel="0" collapsed="false">
      <c r="A781" s="12" t="n">
        <v>773</v>
      </c>
      <c r="B781" s="13"/>
      <c r="C781" s="12" t="str">
        <f aca="false">IF(B781="","",IF(B781=IFERROR(INDEX(設定!$B$18:$F$18,MATCH(入力!$B$4,設定!$A$23:$A$27,0)),""),1,0))</f>
        <v/>
      </c>
    </row>
    <row r="782" customFormat="false" ht="15" hidden="false" customHeight="false" outlineLevel="0" collapsed="false">
      <c r="A782" s="12" t="n">
        <v>774</v>
      </c>
      <c r="B782" s="13"/>
      <c r="C782" s="12" t="str">
        <f aca="false">IF(B782="","",IF(B782=IFERROR(INDEX(設定!$B$18:$F$18,MATCH(入力!$B$4,設定!$A$23:$A$27,0)),""),1,0))</f>
        <v/>
      </c>
    </row>
    <row r="783" customFormat="false" ht="15" hidden="false" customHeight="false" outlineLevel="0" collapsed="false">
      <c r="A783" s="12" t="n">
        <v>775</v>
      </c>
      <c r="B783" s="13"/>
      <c r="C783" s="12" t="str">
        <f aca="false">IF(B783="","",IF(B783=IFERROR(INDEX(設定!$B$18:$F$18,MATCH(入力!$B$4,設定!$A$23:$A$27,0)),""),1,0))</f>
        <v/>
      </c>
    </row>
    <row r="784" customFormat="false" ht="15" hidden="false" customHeight="false" outlineLevel="0" collapsed="false">
      <c r="A784" s="12" t="n">
        <v>776</v>
      </c>
      <c r="B784" s="13"/>
      <c r="C784" s="12" t="str">
        <f aca="false">IF(B784="","",IF(B784=IFERROR(INDEX(設定!$B$18:$F$18,MATCH(入力!$B$4,設定!$A$23:$A$27,0)),""),1,0))</f>
        <v/>
      </c>
    </row>
    <row r="785" customFormat="false" ht="15" hidden="false" customHeight="false" outlineLevel="0" collapsed="false">
      <c r="A785" s="12" t="n">
        <v>777</v>
      </c>
      <c r="B785" s="13"/>
      <c r="C785" s="12" t="str">
        <f aca="false">IF(B785="","",IF(B785=IFERROR(INDEX(設定!$B$18:$F$18,MATCH(入力!$B$4,設定!$A$23:$A$27,0)),""),1,0))</f>
        <v/>
      </c>
    </row>
    <row r="786" customFormat="false" ht="15" hidden="false" customHeight="false" outlineLevel="0" collapsed="false">
      <c r="A786" s="12" t="n">
        <v>778</v>
      </c>
      <c r="B786" s="13"/>
      <c r="C786" s="12" t="str">
        <f aca="false">IF(B786="","",IF(B786=IFERROR(INDEX(設定!$B$18:$F$18,MATCH(入力!$B$4,設定!$A$23:$A$27,0)),""),1,0))</f>
        <v/>
      </c>
    </row>
    <row r="787" customFormat="false" ht="15" hidden="false" customHeight="false" outlineLevel="0" collapsed="false">
      <c r="A787" s="12" t="n">
        <v>779</v>
      </c>
      <c r="B787" s="13"/>
      <c r="C787" s="12" t="str">
        <f aca="false">IF(B787="","",IF(B787=IFERROR(INDEX(設定!$B$18:$F$18,MATCH(入力!$B$4,設定!$A$23:$A$27,0)),""),1,0))</f>
        <v/>
      </c>
    </row>
    <row r="788" customFormat="false" ht="15" hidden="false" customHeight="false" outlineLevel="0" collapsed="false">
      <c r="A788" s="12" t="n">
        <v>780</v>
      </c>
      <c r="B788" s="13"/>
      <c r="C788" s="12" t="str">
        <f aca="false">IF(B788="","",IF(B788=IFERROR(INDEX(設定!$B$18:$F$18,MATCH(入力!$B$4,設定!$A$23:$A$27,0)),""),1,0))</f>
        <v/>
      </c>
    </row>
    <row r="789" customFormat="false" ht="15" hidden="false" customHeight="false" outlineLevel="0" collapsed="false">
      <c r="A789" s="12" t="n">
        <v>781</v>
      </c>
      <c r="B789" s="13"/>
      <c r="C789" s="12" t="str">
        <f aca="false">IF(B789="","",IF(B789=IFERROR(INDEX(設定!$B$18:$F$18,MATCH(入力!$B$4,設定!$A$23:$A$27,0)),""),1,0))</f>
        <v/>
      </c>
    </row>
    <row r="790" customFormat="false" ht="15" hidden="false" customHeight="false" outlineLevel="0" collapsed="false">
      <c r="A790" s="12" t="n">
        <v>782</v>
      </c>
      <c r="B790" s="13"/>
      <c r="C790" s="12" t="str">
        <f aca="false">IF(B790="","",IF(B790=IFERROR(INDEX(設定!$B$18:$F$18,MATCH(入力!$B$4,設定!$A$23:$A$27,0)),""),1,0))</f>
        <v/>
      </c>
    </row>
    <row r="791" customFormat="false" ht="15" hidden="false" customHeight="false" outlineLevel="0" collapsed="false">
      <c r="A791" s="12" t="n">
        <v>783</v>
      </c>
      <c r="B791" s="13"/>
      <c r="C791" s="12" t="str">
        <f aca="false">IF(B791="","",IF(B791=IFERROR(INDEX(設定!$B$18:$F$18,MATCH(入力!$B$4,設定!$A$23:$A$27,0)),""),1,0))</f>
        <v/>
      </c>
    </row>
    <row r="792" customFormat="false" ht="15" hidden="false" customHeight="false" outlineLevel="0" collapsed="false">
      <c r="A792" s="12" t="n">
        <v>784</v>
      </c>
      <c r="B792" s="13"/>
      <c r="C792" s="12" t="str">
        <f aca="false">IF(B792="","",IF(B792=IFERROR(INDEX(設定!$B$18:$F$18,MATCH(入力!$B$4,設定!$A$23:$A$27,0)),""),1,0))</f>
        <v/>
      </c>
    </row>
    <row r="793" customFormat="false" ht="15" hidden="false" customHeight="false" outlineLevel="0" collapsed="false">
      <c r="A793" s="12" t="n">
        <v>785</v>
      </c>
      <c r="B793" s="13"/>
      <c r="C793" s="12" t="str">
        <f aca="false">IF(B793="","",IF(B793=IFERROR(INDEX(設定!$B$18:$F$18,MATCH(入力!$B$4,設定!$A$23:$A$27,0)),""),1,0))</f>
        <v/>
      </c>
    </row>
    <row r="794" customFormat="false" ht="15" hidden="false" customHeight="false" outlineLevel="0" collapsed="false">
      <c r="A794" s="12" t="n">
        <v>786</v>
      </c>
      <c r="B794" s="13"/>
      <c r="C794" s="12" t="str">
        <f aca="false">IF(B794="","",IF(B794=IFERROR(INDEX(設定!$B$18:$F$18,MATCH(入力!$B$4,設定!$A$23:$A$27,0)),""),1,0))</f>
        <v/>
      </c>
    </row>
    <row r="795" customFormat="false" ht="15" hidden="false" customHeight="false" outlineLevel="0" collapsed="false">
      <c r="A795" s="12" t="n">
        <v>787</v>
      </c>
      <c r="B795" s="13"/>
      <c r="C795" s="12" t="str">
        <f aca="false">IF(B795="","",IF(B795=IFERROR(INDEX(設定!$B$18:$F$18,MATCH(入力!$B$4,設定!$A$23:$A$27,0)),""),1,0))</f>
        <v/>
      </c>
    </row>
    <row r="796" customFormat="false" ht="15" hidden="false" customHeight="false" outlineLevel="0" collapsed="false">
      <c r="A796" s="12" t="n">
        <v>788</v>
      </c>
      <c r="B796" s="13"/>
      <c r="C796" s="12" t="str">
        <f aca="false">IF(B796="","",IF(B796=IFERROR(INDEX(設定!$B$18:$F$18,MATCH(入力!$B$4,設定!$A$23:$A$27,0)),""),1,0))</f>
        <v/>
      </c>
    </row>
    <row r="797" customFormat="false" ht="15" hidden="false" customHeight="false" outlineLevel="0" collapsed="false">
      <c r="A797" s="12" t="n">
        <v>789</v>
      </c>
      <c r="B797" s="13"/>
      <c r="C797" s="12" t="str">
        <f aca="false">IF(B797="","",IF(B797=IFERROR(INDEX(設定!$B$18:$F$18,MATCH(入力!$B$4,設定!$A$23:$A$27,0)),""),1,0))</f>
        <v/>
      </c>
    </row>
    <row r="798" customFormat="false" ht="15" hidden="false" customHeight="false" outlineLevel="0" collapsed="false">
      <c r="A798" s="12" t="n">
        <v>790</v>
      </c>
      <c r="B798" s="13"/>
      <c r="C798" s="12" t="str">
        <f aca="false">IF(B798="","",IF(B798=IFERROR(INDEX(設定!$B$18:$F$18,MATCH(入力!$B$4,設定!$A$23:$A$27,0)),""),1,0))</f>
        <v/>
      </c>
    </row>
    <row r="799" customFormat="false" ht="15" hidden="false" customHeight="false" outlineLevel="0" collapsed="false">
      <c r="A799" s="12" t="n">
        <v>791</v>
      </c>
      <c r="B799" s="13"/>
      <c r="C799" s="12" t="str">
        <f aca="false">IF(B799="","",IF(B799=IFERROR(INDEX(設定!$B$18:$F$18,MATCH(入力!$B$4,設定!$A$23:$A$27,0)),""),1,0))</f>
        <v/>
      </c>
    </row>
    <row r="800" customFormat="false" ht="15" hidden="false" customHeight="false" outlineLevel="0" collapsed="false">
      <c r="A800" s="12" t="n">
        <v>792</v>
      </c>
      <c r="B800" s="13"/>
      <c r="C800" s="12" t="str">
        <f aca="false">IF(B800="","",IF(B800=IFERROR(INDEX(設定!$B$18:$F$18,MATCH(入力!$B$4,設定!$A$23:$A$27,0)),""),1,0))</f>
        <v/>
      </c>
    </row>
    <row r="801" customFormat="false" ht="15" hidden="false" customHeight="false" outlineLevel="0" collapsed="false">
      <c r="A801" s="12" t="n">
        <v>793</v>
      </c>
      <c r="B801" s="13"/>
      <c r="C801" s="12" t="str">
        <f aca="false">IF(B801="","",IF(B801=IFERROR(INDEX(設定!$B$18:$F$18,MATCH(入力!$B$4,設定!$A$23:$A$27,0)),""),1,0))</f>
        <v/>
      </c>
    </row>
    <row r="802" customFormat="false" ht="15" hidden="false" customHeight="false" outlineLevel="0" collapsed="false">
      <c r="A802" s="12" t="n">
        <v>794</v>
      </c>
      <c r="B802" s="13"/>
      <c r="C802" s="12" t="str">
        <f aca="false">IF(B802="","",IF(B802=IFERROR(INDEX(設定!$B$18:$F$18,MATCH(入力!$B$4,設定!$A$23:$A$27,0)),""),1,0))</f>
        <v/>
      </c>
    </row>
    <row r="803" customFormat="false" ht="15" hidden="false" customHeight="false" outlineLevel="0" collapsed="false">
      <c r="A803" s="12" t="n">
        <v>795</v>
      </c>
      <c r="B803" s="13"/>
      <c r="C803" s="12" t="str">
        <f aca="false">IF(B803="","",IF(B803=IFERROR(INDEX(設定!$B$18:$F$18,MATCH(入力!$B$4,設定!$A$23:$A$27,0)),""),1,0))</f>
        <v/>
      </c>
    </row>
    <row r="804" customFormat="false" ht="15" hidden="false" customHeight="false" outlineLevel="0" collapsed="false">
      <c r="A804" s="12" t="n">
        <v>796</v>
      </c>
      <c r="B804" s="13"/>
      <c r="C804" s="12" t="str">
        <f aca="false">IF(B804="","",IF(B804=IFERROR(INDEX(設定!$B$18:$F$18,MATCH(入力!$B$4,設定!$A$23:$A$27,0)),""),1,0))</f>
        <v/>
      </c>
    </row>
    <row r="805" customFormat="false" ht="15" hidden="false" customHeight="false" outlineLevel="0" collapsed="false">
      <c r="A805" s="12" t="n">
        <v>797</v>
      </c>
      <c r="B805" s="13"/>
      <c r="C805" s="12" t="str">
        <f aca="false">IF(B805="","",IF(B805=IFERROR(INDEX(設定!$B$18:$F$18,MATCH(入力!$B$4,設定!$A$23:$A$27,0)),""),1,0))</f>
        <v/>
      </c>
    </row>
    <row r="806" customFormat="false" ht="15" hidden="false" customHeight="false" outlineLevel="0" collapsed="false">
      <c r="A806" s="12" t="n">
        <v>798</v>
      </c>
      <c r="B806" s="13"/>
      <c r="C806" s="12" t="str">
        <f aca="false">IF(B806="","",IF(B806=IFERROR(INDEX(設定!$B$18:$F$18,MATCH(入力!$B$4,設定!$A$23:$A$27,0)),""),1,0))</f>
        <v/>
      </c>
    </row>
    <row r="807" customFormat="false" ht="15" hidden="false" customHeight="false" outlineLevel="0" collapsed="false">
      <c r="A807" s="12" t="n">
        <v>799</v>
      </c>
      <c r="B807" s="13"/>
      <c r="C807" s="12" t="str">
        <f aca="false">IF(B807="","",IF(B807=IFERROR(INDEX(設定!$B$18:$F$18,MATCH(入力!$B$4,設定!$A$23:$A$27,0)),""),1,0))</f>
        <v/>
      </c>
    </row>
    <row r="808" customFormat="false" ht="15" hidden="false" customHeight="false" outlineLevel="0" collapsed="false">
      <c r="A808" s="12" t="n">
        <v>800</v>
      </c>
      <c r="B808" s="13"/>
      <c r="C808" s="12" t="str">
        <f aca="false">IF(B808="","",IF(B808=IFERROR(INDEX(設定!$B$18:$F$18,MATCH(入力!$B$4,設定!$A$23:$A$27,0)),""),1,0))</f>
        <v/>
      </c>
    </row>
    <row r="809" customFormat="false" ht="15" hidden="false" customHeight="false" outlineLevel="0" collapsed="false">
      <c r="A809" s="12" t="n">
        <v>801</v>
      </c>
      <c r="B809" s="13"/>
      <c r="C809" s="12" t="str">
        <f aca="false">IF(B809="","",IF(B809=IFERROR(INDEX(設定!$B$18:$F$18,MATCH(入力!$B$4,設定!$A$23:$A$27,0)),""),1,0))</f>
        <v/>
      </c>
    </row>
    <row r="810" customFormat="false" ht="15" hidden="false" customHeight="false" outlineLevel="0" collapsed="false">
      <c r="A810" s="12" t="n">
        <v>802</v>
      </c>
      <c r="B810" s="13"/>
      <c r="C810" s="12" t="str">
        <f aca="false">IF(B810="","",IF(B810=IFERROR(INDEX(設定!$B$18:$F$18,MATCH(入力!$B$4,設定!$A$23:$A$27,0)),""),1,0))</f>
        <v/>
      </c>
    </row>
    <row r="811" customFormat="false" ht="15" hidden="false" customHeight="false" outlineLevel="0" collapsed="false">
      <c r="A811" s="12" t="n">
        <v>803</v>
      </c>
      <c r="B811" s="13"/>
      <c r="C811" s="12" t="str">
        <f aca="false">IF(B811="","",IF(B811=IFERROR(INDEX(設定!$B$18:$F$18,MATCH(入力!$B$4,設定!$A$23:$A$27,0)),""),1,0))</f>
        <v/>
      </c>
    </row>
    <row r="812" customFormat="false" ht="15" hidden="false" customHeight="false" outlineLevel="0" collapsed="false">
      <c r="A812" s="12" t="n">
        <v>804</v>
      </c>
      <c r="B812" s="13"/>
      <c r="C812" s="12" t="str">
        <f aca="false">IF(B812="","",IF(B812=IFERROR(INDEX(設定!$B$18:$F$18,MATCH(入力!$B$4,設定!$A$23:$A$27,0)),""),1,0))</f>
        <v/>
      </c>
    </row>
    <row r="813" customFormat="false" ht="15" hidden="false" customHeight="false" outlineLevel="0" collapsed="false">
      <c r="A813" s="12" t="n">
        <v>805</v>
      </c>
      <c r="B813" s="13"/>
      <c r="C813" s="12" t="str">
        <f aca="false">IF(B813="","",IF(B813=IFERROR(INDEX(設定!$B$18:$F$18,MATCH(入力!$B$4,設定!$A$23:$A$27,0)),""),1,0))</f>
        <v/>
      </c>
    </row>
    <row r="814" customFormat="false" ht="15" hidden="false" customHeight="false" outlineLevel="0" collapsed="false">
      <c r="A814" s="12" t="n">
        <v>806</v>
      </c>
      <c r="B814" s="13"/>
      <c r="C814" s="12" t="str">
        <f aca="false">IF(B814="","",IF(B814=IFERROR(INDEX(設定!$B$18:$F$18,MATCH(入力!$B$4,設定!$A$23:$A$27,0)),""),1,0))</f>
        <v/>
      </c>
    </row>
    <row r="815" customFormat="false" ht="15" hidden="false" customHeight="false" outlineLevel="0" collapsed="false">
      <c r="A815" s="12" t="n">
        <v>807</v>
      </c>
      <c r="B815" s="13"/>
      <c r="C815" s="12" t="str">
        <f aca="false">IF(B815="","",IF(B815=IFERROR(INDEX(設定!$B$18:$F$18,MATCH(入力!$B$4,設定!$A$23:$A$27,0)),""),1,0))</f>
        <v/>
      </c>
    </row>
    <row r="816" customFormat="false" ht="15" hidden="false" customHeight="false" outlineLevel="0" collapsed="false">
      <c r="A816" s="12" t="n">
        <v>808</v>
      </c>
      <c r="B816" s="13"/>
      <c r="C816" s="12" t="str">
        <f aca="false">IF(B816="","",IF(B816=IFERROR(INDEX(設定!$B$18:$F$18,MATCH(入力!$B$4,設定!$A$23:$A$27,0)),""),1,0))</f>
        <v/>
      </c>
    </row>
    <row r="817" customFormat="false" ht="15" hidden="false" customHeight="false" outlineLevel="0" collapsed="false">
      <c r="A817" s="12" t="n">
        <v>809</v>
      </c>
      <c r="B817" s="13"/>
      <c r="C817" s="12" t="str">
        <f aca="false">IF(B817="","",IF(B817=IFERROR(INDEX(設定!$B$18:$F$18,MATCH(入力!$B$4,設定!$A$23:$A$27,0)),""),1,0))</f>
        <v/>
      </c>
    </row>
    <row r="818" customFormat="false" ht="15" hidden="false" customHeight="false" outlineLevel="0" collapsed="false">
      <c r="A818" s="12" t="n">
        <v>810</v>
      </c>
      <c r="B818" s="13"/>
      <c r="C818" s="12" t="str">
        <f aca="false">IF(B818="","",IF(B818=IFERROR(INDEX(設定!$B$18:$F$18,MATCH(入力!$B$4,設定!$A$23:$A$27,0)),""),1,0))</f>
        <v/>
      </c>
    </row>
    <row r="819" customFormat="false" ht="15" hidden="false" customHeight="false" outlineLevel="0" collapsed="false">
      <c r="A819" s="12" t="n">
        <v>811</v>
      </c>
      <c r="B819" s="13"/>
      <c r="C819" s="12" t="str">
        <f aca="false">IF(B819="","",IF(B819=IFERROR(INDEX(設定!$B$18:$F$18,MATCH(入力!$B$4,設定!$A$23:$A$27,0)),""),1,0))</f>
        <v/>
      </c>
    </row>
    <row r="820" customFormat="false" ht="15" hidden="false" customHeight="false" outlineLevel="0" collapsed="false">
      <c r="A820" s="12" t="n">
        <v>812</v>
      </c>
      <c r="B820" s="13"/>
      <c r="C820" s="12" t="str">
        <f aca="false">IF(B820="","",IF(B820=IFERROR(INDEX(設定!$B$18:$F$18,MATCH(入力!$B$4,設定!$A$23:$A$27,0)),""),1,0))</f>
        <v/>
      </c>
    </row>
    <row r="821" customFormat="false" ht="15" hidden="false" customHeight="false" outlineLevel="0" collapsed="false">
      <c r="A821" s="12" t="n">
        <v>813</v>
      </c>
      <c r="B821" s="13"/>
      <c r="C821" s="12" t="str">
        <f aca="false">IF(B821="","",IF(B821=IFERROR(INDEX(設定!$B$18:$F$18,MATCH(入力!$B$4,設定!$A$23:$A$27,0)),""),1,0))</f>
        <v/>
      </c>
    </row>
    <row r="822" customFormat="false" ht="15" hidden="false" customHeight="false" outlineLevel="0" collapsed="false">
      <c r="A822" s="12" t="n">
        <v>814</v>
      </c>
      <c r="B822" s="13"/>
      <c r="C822" s="12" t="str">
        <f aca="false">IF(B822="","",IF(B822=IFERROR(INDEX(設定!$B$18:$F$18,MATCH(入力!$B$4,設定!$A$23:$A$27,0)),""),1,0))</f>
        <v/>
      </c>
    </row>
    <row r="823" customFormat="false" ht="15" hidden="false" customHeight="false" outlineLevel="0" collapsed="false">
      <c r="A823" s="12" t="n">
        <v>815</v>
      </c>
      <c r="B823" s="13"/>
      <c r="C823" s="12" t="str">
        <f aca="false">IF(B823="","",IF(B823=IFERROR(INDEX(設定!$B$18:$F$18,MATCH(入力!$B$4,設定!$A$23:$A$27,0)),""),1,0))</f>
        <v/>
      </c>
    </row>
    <row r="824" customFormat="false" ht="15" hidden="false" customHeight="false" outlineLevel="0" collapsed="false">
      <c r="A824" s="12" t="n">
        <v>816</v>
      </c>
      <c r="B824" s="13"/>
      <c r="C824" s="12" t="str">
        <f aca="false">IF(B824="","",IF(B824=IFERROR(INDEX(設定!$B$18:$F$18,MATCH(入力!$B$4,設定!$A$23:$A$27,0)),""),1,0))</f>
        <v/>
      </c>
    </row>
    <row r="825" customFormat="false" ht="15" hidden="false" customHeight="false" outlineLevel="0" collapsed="false">
      <c r="A825" s="12" t="n">
        <v>817</v>
      </c>
      <c r="B825" s="13"/>
      <c r="C825" s="12" t="str">
        <f aca="false">IF(B825="","",IF(B825=IFERROR(INDEX(設定!$B$18:$F$18,MATCH(入力!$B$4,設定!$A$23:$A$27,0)),""),1,0))</f>
        <v/>
      </c>
    </row>
    <row r="826" customFormat="false" ht="15" hidden="false" customHeight="false" outlineLevel="0" collapsed="false">
      <c r="A826" s="12" t="n">
        <v>818</v>
      </c>
      <c r="B826" s="13"/>
      <c r="C826" s="12" t="str">
        <f aca="false">IF(B826="","",IF(B826=IFERROR(INDEX(設定!$B$18:$F$18,MATCH(入力!$B$4,設定!$A$23:$A$27,0)),""),1,0))</f>
        <v/>
      </c>
    </row>
    <row r="827" customFormat="false" ht="15" hidden="false" customHeight="false" outlineLevel="0" collapsed="false">
      <c r="A827" s="12" t="n">
        <v>819</v>
      </c>
      <c r="B827" s="13"/>
      <c r="C827" s="12" t="str">
        <f aca="false">IF(B827="","",IF(B827=IFERROR(INDEX(設定!$B$18:$F$18,MATCH(入力!$B$4,設定!$A$23:$A$27,0)),""),1,0))</f>
        <v/>
      </c>
    </row>
    <row r="828" customFormat="false" ht="15" hidden="false" customHeight="false" outlineLevel="0" collapsed="false">
      <c r="A828" s="12" t="n">
        <v>820</v>
      </c>
      <c r="B828" s="13"/>
      <c r="C828" s="12" t="str">
        <f aca="false">IF(B828="","",IF(B828=IFERROR(INDEX(設定!$B$18:$F$18,MATCH(入力!$B$4,設定!$A$23:$A$27,0)),""),1,0))</f>
        <v/>
      </c>
    </row>
    <row r="829" customFormat="false" ht="15" hidden="false" customHeight="false" outlineLevel="0" collapsed="false">
      <c r="A829" s="12" t="n">
        <v>821</v>
      </c>
      <c r="B829" s="13"/>
      <c r="C829" s="12" t="str">
        <f aca="false">IF(B829="","",IF(B829=IFERROR(INDEX(設定!$B$18:$F$18,MATCH(入力!$B$4,設定!$A$23:$A$27,0)),""),1,0))</f>
        <v/>
      </c>
    </row>
    <row r="830" customFormat="false" ht="15" hidden="false" customHeight="false" outlineLevel="0" collapsed="false">
      <c r="A830" s="12" t="n">
        <v>822</v>
      </c>
      <c r="B830" s="13"/>
      <c r="C830" s="12" t="str">
        <f aca="false">IF(B830="","",IF(B830=IFERROR(INDEX(設定!$B$18:$F$18,MATCH(入力!$B$4,設定!$A$23:$A$27,0)),""),1,0))</f>
        <v/>
      </c>
    </row>
    <row r="831" customFormat="false" ht="15" hidden="false" customHeight="false" outlineLevel="0" collapsed="false">
      <c r="A831" s="12" t="n">
        <v>823</v>
      </c>
      <c r="B831" s="13"/>
      <c r="C831" s="12" t="str">
        <f aca="false">IF(B831="","",IF(B831=IFERROR(INDEX(設定!$B$18:$F$18,MATCH(入力!$B$4,設定!$A$23:$A$27,0)),""),1,0))</f>
        <v/>
      </c>
    </row>
    <row r="832" customFormat="false" ht="15" hidden="false" customHeight="false" outlineLevel="0" collapsed="false">
      <c r="A832" s="12" t="n">
        <v>824</v>
      </c>
      <c r="B832" s="13"/>
      <c r="C832" s="12" t="str">
        <f aca="false">IF(B832="","",IF(B832=IFERROR(INDEX(設定!$B$18:$F$18,MATCH(入力!$B$4,設定!$A$23:$A$27,0)),""),1,0))</f>
        <v/>
      </c>
    </row>
    <row r="833" customFormat="false" ht="15" hidden="false" customHeight="false" outlineLevel="0" collapsed="false">
      <c r="A833" s="12" t="n">
        <v>825</v>
      </c>
      <c r="B833" s="13"/>
      <c r="C833" s="12" t="str">
        <f aca="false">IF(B833="","",IF(B833=IFERROR(INDEX(設定!$B$18:$F$18,MATCH(入力!$B$4,設定!$A$23:$A$27,0)),""),1,0))</f>
        <v/>
      </c>
    </row>
    <row r="834" customFormat="false" ht="15" hidden="false" customHeight="false" outlineLevel="0" collapsed="false">
      <c r="A834" s="12" t="n">
        <v>826</v>
      </c>
      <c r="B834" s="13"/>
      <c r="C834" s="12" t="str">
        <f aca="false">IF(B834="","",IF(B834=IFERROR(INDEX(設定!$B$18:$F$18,MATCH(入力!$B$4,設定!$A$23:$A$27,0)),""),1,0))</f>
        <v/>
      </c>
    </row>
    <row r="835" customFormat="false" ht="15" hidden="false" customHeight="false" outlineLevel="0" collapsed="false">
      <c r="A835" s="12" t="n">
        <v>827</v>
      </c>
      <c r="B835" s="13"/>
      <c r="C835" s="12" t="str">
        <f aca="false">IF(B835="","",IF(B835=IFERROR(INDEX(設定!$B$18:$F$18,MATCH(入力!$B$4,設定!$A$23:$A$27,0)),""),1,0))</f>
        <v/>
      </c>
    </row>
    <row r="836" customFormat="false" ht="15" hidden="false" customHeight="false" outlineLevel="0" collapsed="false">
      <c r="A836" s="12" t="n">
        <v>828</v>
      </c>
      <c r="B836" s="13"/>
      <c r="C836" s="12" t="str">
        <f aca="false">IF(B836="","",IF(B836=IFERROR(INDEX(設定!$B$18:$F$18,MATCH(入力!$B$4,設定!$A$23:$A$27,0)),""),1,0))</f>
        <v/>
      </c>
    </row>
    <row r="837" customFormat="false" ht="15" hidden="false" customHeight="false" outlineLevel="0" collapsed="false">
      <c r="A837" s="12" t="n">
        <v>829</v>
      </c>
      <c r="B837" s="13"/>
      <c r="C837" s="12" t="str">
        <f aca="false">IF(B837="","",IF(B837=IFERROR(INDEX(設定!$B$18:$F$18,MATCH(入力!$B$4,設定!$A$23:$A$27,0)),""),1,0))</f>
        <v/>
      </c>
    </row>
    <row r="838" customFormat="false" ht="15" hidden="false" customHeight="false" outlineLevel="0" collapsed="false">
      <c r="A838" s="12" t="n">
        <v>830</v>
      </c>
      <c r="B838" s="13"/>
      <c r="C838" s="12" t="str">
        <f aca="false">IF(B838="","",IF(B838=IFERROR(INDEX(設定!$B$18:$F$18,MATCH(入力!$B$4,設定!$A$23:$A$27,0)),""),1,0))</f>
        <v/>
      </c>
    </row>
    <row r="839" customFormat="false" ht="15" hidden="false" customHeight="false" outlineLevel="0" collapsed="false">
      <c r="A839" s="12" t="n">
        <v>831</v>
      </c>
      <c r="B839" s="13"/>
      <c r="C839" s="12" t="str">
        <f aca="false">IF(B839="","",IF(B839=IFERROR(INDEX(設定!$B$18:$F$18,MATCH(入力!$B$4,設定!$A$23:$A$27,0)),""),1,0))</f>
        <v/>
      </c>
    </row>
    <row r="840" customFormat="false" ht="15" hidden="false" customHeight="false" outlineLevel="0" collapsed="false">
      <c r="A840" s="12" t="n">
        <v>832</v>
      </c>
      <c r="B840" s="13"/>
      <c r="C840" s="12" t="str">
        <f aca="false">IF(B840="","",IF(B840=IFERROR(INDEX(設定!$B$18:$F$18,MATCH(入力!$B$4,設定!$A$23:$A$27,0)),""),1,0))</f>
        <v/>
      </c>
    </row>
    <row r="841" customFormat="false" ht="15" hidden="false" customHeight="false" outlineLevel="0" collapsed="false">
      <c r="A841" s="12" t="n">
        <v>833</v>
      </c>
      <c r="B841" s="13"/>
      <c r="C841" s="12" t="str">
        <f aca="false">IF(B841="","",IF(B841=IFERROR(INDEX(設定!$B$18:$F$18,MATCH(入力!$B$4,設定!$A$23:$A$27,0)),""),1,0))</f>
        <v/>
      </c>
    </row>
    <row r="842" customFormat="false" ht="15" hidden="false" customHeight="false" outlineLevel="0" collapsed="false">
      <c r="A842" s="12" t="n">
        <v>834</v>
      </c>
      <c r="B842" s="13"/>
      <c r="C842" s="12" t="str">
        <f aca="false">IF(B842="","",IF(B842=IFERROR(INDEX(設定!$B$18:$F$18,MATCH(入力!$B$4,設定!$A$23:$A$27,0)),""),1,0))</f>
        <v/>
      </c>
    </row>
    <row r="843" customFormat="false" ht="15" hidden="false" customHeight="false" outlineLevel="0" collapsed="false">
      <c r="A843" s="12" t="n">
        <v>835</v>
      </c>
      <c r="B843" s="13"/>
      <c r="C843" s="12" t="str">
        <f aca="false">IF(B843="","",IF(B843=IFERROR(INDEX(設定!$B$18:$F$18,MATCH(入力!$B$4,設定!$A$23:$A$27,0)),""),1,0))</f>
        <v/>
      </c>
    </row>
    <row r="844" customFormat="false" ht="15" hidden="false" customHeight="false" outlineLevel="0" collapsed="false">
      <c r="A844" s="12" t="n">
        <v>836</v>
      </c>
      <c r="B844" s="13"/>
      <c r="C844" s="12" t="str">
        <f aca="false">IF(B844="","",IF(B844=IFERROR(INDEX(設定!$B$18:$F$18,MATCH(入力!$B$4,設定!$A$23:$A$27,0)),""),1,0))</f>
        <v/>
      </c>
    </row>
    <row r="845" customFormat="false" ht="15" hidden="false" customHeight="false" outlineLevel="0" collapsed="false">
      <c r="A845" s="12" t="n">
        <v>837</v>
      </c>
      <c r="B845" s="13"/>
      <c r="C845" s="12" t="str">
        <f aca="false">IF(B845="","",IF(B845=IFERROR(INDEX(設定!$B$18:$F$18,MATCH(入力!$B$4,設定!$A$23:$A$27,0)),""),1,0))</f>
        <v/>
      </c>
    </row>
    <row r="846" customFormat="false" ht="15" hidden="false" customHeight="false" outlineLevel="0" collapsed="false">
      <c r="A846" s="12" t="n">
        <v>838</v>
      </c>
      <c r="B846" s="13"/>
      <c r="C846" s="12" t="str">
        <f aca="false">IF(B846="","",IF(B846=IFERROR(INDEX(設定!$B$18:$F$18,MATCH(入力!$B$4,設定!$A$23:$A$27,0)),""),1,0))</f>
        <v/>
      </c>
    </row>
    <row r="847" customFormat="false" ht="15" hidden="false" customHeight="false" outlineLevel="0" collapsed="false">
      <c r="A847" s="12" t="n">
        <v>839</v>
      </c>
      <c r="B847" s="13"/>
      <c r="C847" s="12" t="str">
        <f aca="false">IF(B847="","",IF(B847=IFERROR(INDEX(設定!$B$18:$F$18,MATCH(入力!$B$4,設定!$A$23:$A$27,0)),""),1,0))</f>
        <v/>
      </c>
    </row>
    <row r="848" customFormat="false" ht="15" hidden="false" customHeight="false" outlineLevel="0" collapsed="false">
      <c r="A848" s="12" t="n">
        <v>840</v>
      </c>
      <c r="B848" s="13"/>
      <c r="C848" s="12" t="str">
        <f aca="false">IF(B848="","",IF(B848=IFERROR(INDEX(設定!$B$18:$F$18,MATCH(入力!$B$4,設定!$A$23:$A$27,0)),""),1,0))</f>
        <v/>
      </c>
    </row>
    <row r="849" customFormat="false" ht="15" hidden="false" customHeight="false" outlineLevel="0" collapsed="false">
      <c r="A849" s="12" t="n">
        <v>841</v>
      </c>
      <c r="B849" s="13"/>
      <c r="C849" s="12" t="str">
        <f aca="false">IF(B849="","",IF(B849=IFERROR(INDEX(設定!$B$18:$F$18,MATCH(入力!$B$4,設定!$A$23:$A$27,0)),""),1,0))</f>
        <v/>
      </c>
    </row>
    <row r="850" customFormat="false" ht="15" hidden="false" customHeight="false" outlineLevel="0" collapsed="false">
      <c r="A850" s="12" t="n">
        <v>842</v>
      </c>
      <c r="B850" s="13"/>
      <c r="C850" s="12" t="str">
        <f aca="false">IF(B850="","",IF(B850=IFERROR(INDEX(設定!$B$18:$F$18,MATCH(入力!$B$4,設定!$A$23:$A$27,0)),""),1,0))</f>
        <v/>
      </c>
    </row>
    <row r="851" customFormat="false" ht="15" hidden="false" customHeight="false" outlineLevel="0" collapsed="false">
      <c r="A851" s="12" t="n">
        <v>843</v>
      </c>
      <c r="B851" s="13"/>
      <c r="C851" s="12" t="str">
        <f aca="false">IF(B851="","",IF(B851=IFERROR(INDEX(設定!$B$18:$F$18,MATCH(入力!$B$4,設定!$A$23:$A$27,0)),""),1,0))</f>
        <v/>
      </c>
    </row>
    <row r="852" customFormat="false" ht="15" hidden="false" customHeight="false" outlineLevel="0" collapsed="false">
      <c r="A852" s="12" t="n">
        <v>844</v>
      </c>
      <c r="B852" s="13"/>
      <c r="C852" s="12" t="str">
        <f aca="false">IF(B852="","",IF(B852=IFERROR(INDEX(設定!$B$18:$F$18,MATCH(入力!$B$4,設定!$A$23:$A$27,0)),""),1,0))</f>
        <v/>
      </c>
    </row>
    <row r="853" customFormat="false" ht="15" hidden="false" customHeight="false" outlineLevel="0" collapsed="false">
      <c r="A853" s="12" t="n">
        <v>845</v>
      </c>
      <c r="B853" s="13"/>
      <c r="C853" s="12" t="str">
        <f aca="false">IF(B853="","",IF(B853=IFERROR(INDEX(設定!$B$18:$F$18,MATCH(入力!$B$4,設定!$A$23:$A$27,0)),""),1,0))</f>
        <v/>
      </c>
    </row>
    <row r="854" customFormat="false" ht="15" hidden="false" customHeight="false" outlineLevel="0" collapsed="false">
      <c r="A854" s="12" t="n">
        <v>846</v>
      </c>
      <c r="B854" s="13"/>
      <c r="C854" s="12" t="str">
        <f aca="false">IF(B854="","",IF(B854=IFERROR(INDEX(設定!$B$18:$F$18,MATCH(入力!$B$4,設定!$A$23:$A$27,0)),""),1,0))</f>
        <v/>
      </c>
    </row>
    <row r="855" customFormat="false" ht="15" hidden="false" customHeight="false" outlineLevel="0" collapsed="false">
      <c r="A855" s="12" t="n">
        <v>847</v>
      </c>
      <c r="B855" s="13"/>
      <c r="C855" s="12" t="str">
        <f aca="false">IF(B855="","",IF(B855=IFERROR(INDEX(設定!$B$18:$F$18,MATCH(入力!$B$4,設定!$A$23:$A$27,0)),""),1,0))</f>
        <v/>
      </c>
    </row>
    <row r="856" customFormat="false" ht="15" hidden="false" customHeight="false" outlineLevel="0" collapsed="false">
      <c r="A856" s="12" t="n">
        <v>848</v>
      </c>
      <c r="B856" s="13"/>
      <c r="C856" s="12" t="str">
        <f aca="false">IF(B856="","",IF(B856=IFERROR(INDEX(設定!$B$18:$F$18,MATCH(入力!$B$4,設定!$A$23:$A$27,0)),""),1,0))</f>
        <v/>
      </c>
    </row>
    <row r="857" customFormat="false" ht="15" hidden="false" customHeight="false" outlineLevel="0" collapsed="false">
      <c r="A857" s="12" t="n">
        <v>849</v>
      </c>
      <c r="B857" s="13"/>
      <c r="C857" s="12" t="str">
        <f aca="false">IF(B857="","",IF(B857=IFERROR(INDEX(設定!$B$18:$F$18,MATCH(入力!$B$4,設定!$A$23:$A$27,0)),""),1,0))</f>
        <v/>
      </c>
    </row>
    <row r="858" customFormat="false" ht="15" hidden="false" customHeight="false" outlineLevel="0" collapsed="false">
      <c r="A858" s="12" t="n">
        <v>850</v>
      </c>
      <c r="B858" s="13"/>
      <c r="C858" s="12" t="str">
        <f aca="false">IF(B858="","",IF(B858=IFERROR(INDEX(設定!$B$18:$F$18,MATCH(入力!$B$4,設定!$A$23:$A$27,0)),""),1,0))</f>
        <v/>
      </c>
    </row>
    <row r="859" customFormat="false" ht="15" hidden="false" customHeight="false" outlineLevel="0" collapsed="false">
      <c r="A859" s="12" t="n">
        <v>851</v>
      </c>
      <c r="B859" s="13"/>
      <c r="C859" s="12" t="str">
        <f aca="false">IF(B859="","",IF(B859=IFERROR(INDEX(設定!$B$18:$F$18,MATCH(入力!$B$4,設定!$A$23:$A$27,0)),""),1,0))</f>
        <v/>
      </c>
    </row>
    <row r="860" customFormat="false" ht="15" hidden="false" customHeight="false" outlineLevel="0" collapsed="false">
      <c r="A860" s="12" t="n">
        <v>852</v>
      </c>
      <c r="B860" s="13"/>
      <c r="C860" s="12" t="str">
        <f aca="false">IF(B860="","",IF(B860=IFERROR(INDEX(設定!$B$18:$F$18,MATCH(入力!$B$4,設定!$A$23:$A$27,0)),""),1,0))</f>
        <v/>
      </c>
    </row>
    <row r="861" customFormat="false" ht="15" hidden="false" customHeight="false" outlineLevel="0" collapsed="false">
      <c r="A861" s="12" t="n">
        <v>853</v>
      </c>
      <c r="B861" s="13"/>
      <c r="C861" s="12" t="str">
        <f aca="false">IF(B861="","",IF(B861=IFERROR(INDEX(設定!$B$18:$F$18,MATCH(入力!$B$4,設定!$A$23:$A$27,0)),""),1,0))</f>
        <v/>
      </c>
    </row>
    <row r="862" customFormat="false" ht="15" hidden="false" customHeight="false" outlineLevel="0" collapsed="false">
      <c r="A862" s="12" t="n">
        <v>854</v>
      </c>
      <c r="B862" s="13"/>
      <c r="C862" s="12" t="str">
        <f aca="false">IF(B862="","",IF(B862=IFERROR(INDEX(設定!$B$18:$F$18,MATCH(入力!$B$4,設定!$A$23:$A$27,0)),""),1,0))</f>
        <v/>
      </c>
    </row>
    <row r="863" customFormat="false" ht="15" hidden="false" customHeight="false" outlineLevel="0" collapsed="false">
      <c r="A863" s="12" t="n">
        <v>855</v>
      </c>
      <c r="B863" s="13"/>
      <c r="C863" s="12" t="str">
        <f aca="false">IF(B863="","",IF(B863=IFERROR(INDEX(設定!$B$18:$F$18,MATCH(入力!$B$4,設定!$A$23:$A$27,0)),""),1,0))</f>
        <v/>
      </c>
    </row>
    <row r="864" customFormat="false" ht="15" hidden="false" customHeight="false" outlineLevel="0" collapsed="false">
      <c r="A864" s="12" t="n">
        <v>856</v>
      </c>
      <c r="B864" s="13"/>
      <c r="C864" s="12" t="str">
        <f aca="false">IF(B864="","",IF(B864=IFERROR(INDEX(設定!$B$18:$F$18,MATCH(入力!$B$4,設定!$A$23:$A$27,0)),""),1,0))</f>
        <v/>
      </c>
    </row>
    <row r="865" customFormat="false" ht="15" hidden="false" customHeight="false" outlineLevel="0" collapsed="false">
      <c r="A865" s="12" t="n">
        <v>857</v>
      </c>
      <c r="B865" s="13"/>
      <c r="C865" s="12" t="str">
        <f aca="false">IF(B865="","",IF(B865=IFERROR(INDEX(設定!$B$18:$F$18,MATCH(入力!$B$4,設定!$A$23:$A$27,0)),""),1,0))</f>
        <v/>
      </c>
    </row>
    <row r="866" customFormat="false" ht="15" hidden="false" customHeight="false" outlineLevel="0" collapsed="false">
      <c r="A866" s="12" t="n">
        <v>858</v>
      </c>
      <c r="B866" s="13"/>
      <c r="C866" s="12" t="str">
        <f aca="false">IF(B866="","",IF(B866=IFERROR(INDEX(設定!$B$18:$F$18,MATCH(入力!$B$4,設定!$A$23:$A$27,0)),""),1,0))</f>
        <v/>
      </c>
    </row>
    <row r="867" customFormat="false" ht="15" hidden="false" customHeight="false" outlineLevel="0" collapsed="false">
      <c r="A867" s="12" t="n">
        <v>859</v>
      </c>
      <c r="B867" s="13"/>
      <c r="C867" s="12" t="str">
        <f aca="false">IF(B867="","",IF(B867=IFERROR(INDEX(設定!$B$18:$F$18,MATCH(入力!$B$4,設定!$A$23:$A$27,0)),""),1,0))</f>
        <v/>
      </c>
    </row>
    <row r="868" customFormat="false" ht="15" hidden="false" customHeight="false" outlineLevel="0" collapsed="false">
      <c r="A868" s="12" t="n">
        <v>860</v>
      </c>
      <c r="B868" s="13"/>
      <c r="C868" s="12" t="str">
        <f aca="false">IF(B868="","",IF(B868=IFERROR(INDEX(設定!$B$18:$F$18,MATCH(入力!$B$4,設定!$A$23:$A$27,0)),""),1,0))</f>
        <v/>
      </c>
    </row>
    <row r="869" customFormat="false" ht="15" hidden="false" customHeight="false" outlineLevel="0" collapsed="false">
      <c r="A869" s="12" t="n">
        <v>861</v>
      </c>
      <c r="B869" s="13"/>
      <c r="C869" s="12" t="str">
        <f aca="false">IF(B869="","",IF(B869=IFERROR(INDEX(設定!$B$18:$F$18,MATCH(入力!$B$4,設定!$A$23:$A$27,0)),""),1,0))</f>
        <v/>
      </c>
    </row>
    <row r="870" customFormat="false" ht="15" hidden="false" customHeight="false" outlineLevel="0" collapsed="false">
      <c r="A870" s="12" t="n">
        <v>862</v>
      </c>
      <c r="B870" s="13"/>
      <c r="C870" s="12" t="str">
        <f aca="false">IF(B870="","",IF(B870=IFERROR(INDEX(設定!$B$18:$F$18,MATCH(入力!$B$4,設定!$A$23:$A$27,0)),""),1,0))</f>
        <v/>
      </c>
    </row>
    <row r="871" customFormat="false" ht="15" hidden="false" customHeight="false" outlineLevel="0" collapsed="false">
      <c r="A871" s="12" t="n">
        <v>863</v>
      </c>
      <c r="B871" s="13"/>
      <c r="C871" s="12" t="str">
        <f aca="false">IF(B871="","",IF(B871=IFERROR(INDEX(設定!$B$18:$F$18,MATCH(入力!$B$4,設定!$A$23:$A$27,0)),""),1,0))</f>
        <v/>
      </c>
    </row>
    <row r="872" customFormat="false" ht="15" hidden="false" customHeight="false" outlineLevel="0" collapsed="false">
      <c r="A872" s="12" t="n">
        <v>864</v>
      </c>
      <c r="B872" s="13"/>
      <c r="C872" s="12" t="str">
        <f aca="false">IF(B872="","",IF(B872=IFERROR(INDEX(設定!$B$18:$F$18,MATCH(入力!$B$4,設定!$A$23:$A$27,0)),""),1,0))</f>
        <v/>
      </c>
    </row>
    <row r="873" customFormat="false" ht="15" hidden="false" customHeight="false" outlineLevel="0" collapsed="false">
      <c r="A873" s="12" t="n">
        <v>865</v>
      </c>
      <c r="B873" s="13"/>
      <c r="C873" s="12" t="str">
        <f aca="false">IF(B873="","",IF(B873=IFERROR(INDEX(設定!$B$18:$F$18,MATCH(入力!$B$4,設定!$A$23:$A$27,0)),""),1,0))</f>
        <v/>
      </c>
    </row>
    <row r="874" customFormat="false" ht="15" hidden="false" customHeight="false" outlineLevel="0" collapsed="false">
      <c r="A874" s="12" t="n">
        <v>866</v>
      </c>
      <c r="B874" s="13"/>
      <c r="C874" s="12" t="str">
        <f aca="false">IF(B874="","",IF(B874=IFERROR(INDEX(設定!$B$18:$F$18,MATCH(入力!$B$4,設定!$A$23:$A$27,0)),""),1,0))</f>
        <v/>
      </c>
    </row>
    <row r="875" customFormat="false" ht="15" hidden="false" customHeight="false" outlineLevel="0" collapsed="false">
      <c r="A875" s="12" t="n">
        <v>867</v>
      </c>
      <c r="B875" s="13"/>
      <c r="C875" s="12" t="str">
        <f aca="false">IF(B875="","",IF(B875=IFERROR(INDEX(設定!$B$18:$F$18,MATCH(入力!$B$4,設定!$A$23:$A$27,0)),""),1,0))</f>
        <v/>
      </c>
    </row>
    <row r="876" customFormat="false" ht="15" hidden="false" customHeight="false" outlineLevel="0" collapsed="false">
      <c r="A876" s="12" t="n">
        <v>868</v>
      </c>
      <c r="B876" s="13"/>
      <c r="C876" s="12" t="str">
        <f aca="false">IF(B876="","",IF(B876=IFERROR(INDEX(設定!$B$18:$F$18,MATCH(入力!$B$4,設定!$A$23:$A$27,0)),""),1,0))</f>
        <v/>
      </c>
    </row>
    <row r="877" customFormat="false" ht="15" hidden="false" customHeight="false" outlineLevel="0" collapsed="false">
      <c r="A877" s="12" t="n">
        <v>869</v>
      </c>
      <c r="B877" s="13"/>
      <c r="C877" s="12" t="str">
        <f aca="false">IF(B877="","",IF(B877=IFERROR(INDEX(設定!$B$18:$F$18,MATCH(入力!$B$4,設定!$A$23:$A$27,0)),""),1,0))</f>
        <v/>
      </c>
    </row>
    <row r="878" customFormat="false" ht="15" hidden="false" customHeight="false" outlineLevel="0" collapsed="false">
      <c r="A878" s="12" t="n">
        <v>870</v>
      </c>
      <c r="B878" s="13"/>
      <c r="C878" s="12" t="str">
        <f aca="false">IF(B878="","",IF(B878=IFERROR(INDEX(設定!$B$18:$F$18,MATCH(入力!$B$4,設定!$A$23:$A$27,0)),""),1,0))</f>
        <v/>
      </c>
    </row>
    <row r="879" customFormat="false" ht="15" hidden="false" customHeight="false" outlineLevel="0" collapsed="false">
      <c r="A879" s="12" t="n">
        <v>871</v>
      </c>
      <c r="B879" s="13"/>
      <c r="C879" s="12" t="str">
        <f aca="false">IF(B879="","",IF(B879=IFERROR(INDEX(設定!$B$18:$F$18,MATCH(入力!$B$4,設定!$A$23:$A$27,0)),""),1,0))</f>
        <v/>
      </c>
    </row>
    <row r="880" customFormat="false" ht="15" hidden="false" customHeight="false" outlineLevel="0" collapsed="false">
      <c r="A880" s="12" t="n">
        <v>872</v>
      </c>
      <c r="B880" s="13"/>
      <c r="C880" s="12" t="str">
        <f aca="false">IF(B880="","",IF(B880=IFERROR(INDEX(設定!$B$18:$F$18,MATCH(入力!$B$4,設定!$A$23:$A$27,0)),""),1,0))</f>
        <v/>
      </c>
    </row>
    <row r="881" customFormat="false" ht="15" hidden="false" customHeight="false" outlineLevel="0" collapsed="false">
      <c r="A881" s="12" t="n">
        <v>873</v>
      </c>
      <c r="B881" s="13"/>
      <c r="C881" s="12" t="str">
        <f aca="false">IF(B881="","",IF(B881=IFERROR(INDEX(設定!$B$18:$F$18,MATCH(入力!$B$4,設定!$A$23:$A$27,0)),""),1,0))</f>
        <v/>
      </c>
    </row>
    <row r="882" customFormat="false" ht="15" hidden="false" customHeight="false" outlineLevel="0" collapsed="false">
      <c r="A882" s="12" t="n">
        <v>874</v>
      </c>
      <c r="B882" s="13"/>
      <c r="C882" s="12" t="str">
        <f aca="false">IF(B882="","",IF(B882=IFERROR(INDEX(設定!$B$18:$F$18,MATCH(入力!$B$4,設定!$A$23:$A$27,0)),""),1,0))</f>
        <v/>
      </c>
    </row>
    <row r="883" customFormat="false" ht="15" hidden="false" customHeight="false" outlineLevel="0" collapsed="false">
      <c r="A883" s="12" t="n">
        <v>875</v>
      </c>
      <c r="B883" s="13"/>
      <c r="C883" s="12" t="str">
        <f aca="false">IF(B883="","",IF(B883=IFERROR(INDEX(設定!$B$18:$F$18,MATCH(入力!$B$4,設定!$A$23:$A$27,0)),""),1,0))</f>
        <v/>
      </c>
    </row>
    <row r="884" customFormat="false" ht="15" hidden="false" customHeight="false" outlineLevel="0" collapsed="false">
      <c r="A884" s="12" t="n">
        <v>876</v>
      </c>
      <c r="B884" s="13"/>
      <c r="C884" s="12" t="str">
        <f aca="false">IF(B884="","",IF(B884=IFERROR(INDEX(設定!$B$18:$F$18,MATCH(入力!$B$4,設定!$A$23:$A$27,0)),""),1,0))</f>
        <v/>
      </c>
    </row>
    <row r="885" customFormat="false" ht="15" hidden="false" customHeight="false" outlineLevel="0" collapsed="false">
      <c r="A885" s="12" t="n">
        <v>877</v>
      </c>
      <c r="B885" s="13"/>
      <c r="C885" s="12" t="str">
        <f aca="false">IF(B885="","",IF(B885=IFERROR(INDEX(設定!$B$18:$F$18,MATCH(入力!$B$4,設定!$A$23:$A$27,0)),""),1,0))</f>
        <v/>
      </c>
    </row>
    <row r="886" customFormat="false" ht="15" hidden="false" customHeight="false" outlineLevel="0" collapsed="false">
      <c r="A886" s="12" t="n">
        <v>878</v>
      </c>
      <c r="B886" s="13"/>
      <c r="C886" s="12" t="str">
        <f aca="false">IF(B886="","",IF(B886=IFERROR(INDEX(設定!$B$18:$F$18,MATCH(入力!$B$4,設定!$A$23:$A$27,0)),""),1,0))</f>
        <v/>
      </c>
    </row>
    <row r="887" customFormat="false" ht="15" hidden="false" customHeight="false" outlineLevel="0" collapsed="false">
      <c r="A887" s="12" t="n">
        <v>879</v>
      </c>
      <c r="B887" s="13"/>
      <c r="C887" s="12" t="str">
        <f aca="false">IF(B887="","",IF(B887=IFERROR(INDEX(設定!$B$18:$F$18,MATCH(入力!$B$4,設定!$A$23:$A$27,0)),""),1,0))</f>
        <v/>
      </c>
    </row>
    <row r="888" customFormat="false" ht="15" hidden="false" customHeight="false" outlineLevel="0" collapsed="false">
      <c r="A888" s="12" t="n">
        <v>880</v>
      </c>
      <c r="B888" s="13"/>
      <c r="C888" s="12" t="str">
        <f aca="false">IF(B888="","",IF(B888=IFERROR(INDEX(設定!$B$18:$F$18,MATCH(入力!$B$4,設定!$A$23:$A$27,0)),""),1,0))</f>
        <v/>
      </c>
    </row>
    <row r="889" customFormat="false" ht="15" hidden="false" customHeight="false" outlineLevel="0" collapsed="false">
      <c r="A889" s="12" t="n">
        <v>881</v>
      </c>
      <c r="B889" s="13"/>
      <c r="C889" s="12" t="str">
        <f aca="false">IF(B889="","",IF(B889=IFERROR(INDEX(設定!$B$18:$F$18,MATCH(入力!$B$4,設定!$A$23:$A$27,0)),""),1,0))</f>
        <v/>
      </c>
    </row>
    <row r="890" customFormat="false" ht="15" hidden="false" customHeight="false" outlineLevel="0" collapsed="false">
      <c r="A890" s="12" t="n">
        <v>882</v>
      </c>
      <c r="B890" s="13"/>
      <c r="C890" s="12" t="str">
        <f aca="false">IF(B890="","",IF(B890=IFERROR(INDEX(設定!$B$18:$F$18,MATCH(入力!$B$4,設定!$A$23:$A$27,0)),""),1,0))</f>
        <v/>
      </c>
    </row>
    <row r="891" customFormat="false" ht="15" hidden="false" customHeight="false" outlineLevel="0" collapsed="false">
      <c r="A891" s="12" t="n">
        <v>883</v>
      </c>
      <c r="B891" s="13"/>
      <c r="C891" s="12" t="str">
        <f aca="false">IF(B891="","",IF(B891=IFERROR(INDEX(設定!$B$18:$F$18,MATCH(入力!$B$4,設定!$A$23:$A$27,0)),""),1,0))</f>
        <v/>
      </c>
    </row>
    <row r="892" customFormat="false" ht="15" hidden="false" customHeight="false" outlineLevel="0" collapsed="false">
      <c r="A892" s="12" t="n">
        <v>884</v>
      </c>
      <c r="B892" s="13"/>
      <c r="C892" s="12" t="str">
        <f aca="false">IF(B892="","",IF(B892=IFERROR(INDEX(設定!$B$18:$F$18,MATCH(入力!$B$4,設定!$A$23:$A$27,0)),""),1,0))</f>
        <v/>
      </c>
    </row>
    <row r="893" customFormat="false" ht="15" hidden="false" customHeight="false" outlineLevel="0" collapsed="false">
      <c r="A893" s="12" t="n">
        <v>885</v>
      </c>
      <c r="B893" s="13"/>
      <c r="C893" s="12" t="str">
        <f aca="false">IF(B893="","",IF(B893=IFERROR(INDEX(設定!$B$18:$F$18,MATCH(入力!$B$4,設定!$A$23:$A$27,0)),""),1,0))</f>
        <v/>
      </c>
    </row>
    <row r="894" customFormat="false" ht="15" hidden="false" customHeight="false" outlineLevel="0" collapsed="false">
      <c r="A894" s="12" t="n">
        <v>886</v>
      </c>
      <c r="B894" s="13"/>
      <c r="C894" s="12" t="str">
        <f aca="false">IF(B894="","",IF(B894=IFERROR(INDEX(設定!$B$18:$F$18,MATCH(入力!$B$4,設定!$A$23:$A$27,0)),""),1,0))</f>
        <v/>
      </c>
    </row>
    <row r="895" customFormat="false" ht="15" hidden="false" customHeight="false" outlineLevel="0" collapsed="false">
      <c r="A895" s="12" t="n">
        <v>887</v>
      </c>
      <c r="B895" s="13"/>
      <c r="C895" s="12" t="str">
        <f aca="false">IF(B895="","",IF(B895=IFERROR(INDEX(設定!$B$18:$F$18,MATCH(入力!$B$4,設定!$A$23:$A$27,0)),""),1,0))</f>
        <v/>
      </c>
    </row>
    <row r="896" customFormat="false" ht="15" hidden="false" customHeight="false" outlineLevel="0" collapsed="false">
      <c r="A896" s="12" t="n">
        <v>888</v>
      </c>
      <c r="B896" s="13"/>
      <c r="C896" s="12" t="str">
        <f aca="false">IF(B896="","",IF(B896=IFERROR(INDEX(設定!$B$18:$F$18,MATCH(入力!$B$4,設定!$A$23:$A$27,0)),""),1,0))</f>
        <v/>
      </c>
    </row>
    <row r="897" customFormat="false" ht="15" hidden="false" customHeight="false" outlineLevel="0" collapsed="false">
      <c r="A897" s="12" t="n">
        <v>889</v>
      </c>
      <c r="B897" s="13"/>
      <c r="C897" s="12" t="str">
        <f aca="false">IF(B897="","",IF(B897=IFERROR(INDEX(設定!$B$18:$F$18,MATCH(入力!$B$4,設定!$A$23:$A$27,0)),""),1,0))</f>
        <v/>
      </c>
    </row>
    <row r="898" customFormat="false" ht="15" hidden="false" customHeight="false" outlineLevel="0" collapsed="false">
      <c r="A898" s="12" t="n">
        <v>890</v>
      </c>
      <c r="B898" s="13"/>
      <c r="C898" s="12" t="str">
        <f aca="false">IF(B898="","",IF(B898=IFERROR(INDEX(設定!$B$18:$F$18,MATCH(入力!$B$4,設定!$A$23:$A$27,0)),""),1,0))</f>
        <v/>
      </c>
    </row>
    <row r="899" customFormat="false" ht="15" hidden="false" customHeight="false" outlineLevel="0" collapsed="false">
      <c r="A899" s="12" t="n">
        <v>891</v>
      </c>
      <c r="B899" s="13"/>
      <c r="C899" s="12" t="str">
        <f aca="false">IF(B899="","",IF(B899=IFERROR(INDEX(設定!$B$18:$F$18,MATCH(入力!$B$4,設定!$A$23:$A$27,0)),""),1,0))</f>
        <v/>
      </c>
    </row>
    <row r="900" customFormat="false" ht="15" hidden="false" customHeight="false" outlineLevel="0" collapsed="false">
      <c r="A900" s="12" t="n">
        <v>892</v>
      </c>
      <c r="B900" s="13"/>
      <c r="C900" s="12" t="str">
        <f aca="false">IF(B900="","",IF(B900=IFERROR(INDEX(設定!$B$18:$F$18,MATCH(入力!$B$4,設定!$A$23:$A$27,0)),""),1,0))</f>
        <v/>
      </c>
    </row>
    <row r="901" customFormat="false" ht="15" hidden="false" customHeight="false" outlineLevel="0" collapsed="false">
      <c r="A901" s="12" t="n">
        <v>893</v>
      </c>
      <c r="B901" s="13"/>
      <c r="C901" s="12" t="str">
        <f aca="false">IF(B901="","",IF(B901=IFERROR(INDEX(設定!$B$18:$F$18,MATCH(入力!$B$4,設定!$A$23:$A$27,0)),""),1,0))</f>
        <v/>
      </c>
    </row>
    <row r="902" customFormat="false" ht="15" hidden="false" customHeight="false" outlineLevel="0" collapsed="false">
      <c r="A902" s="12" t="n">
        <v>894</v>
      </c>
      <c r="B902" s="13"/>
      <c r="C902" s="12" t="str">
        <f aca="false">IF(B902="","",IF(B902=IFERROR(INDEX(設定!$B$18:$F$18,MATCH(入力!$B$4,設定!$A$23:$A$27,0)),""),1,0))</f>
        <v/>
      </c>
    </row>
    <row r="903" customFormat="false" ht="15" hidden="false" customHeight="false" outlineLevel="0" collapsed="false">
      <c r="A903" s="12" t="n">
        <v>895</v>
      </c>
      <c r="B903" s="13"/>
      <c r="C903" s="12" t="str">
        <f aca="false">IF(B903="","",IF(B903=IFERROR(INDEX(設定!$B$18:$F$18,MATCH(入力!$B$4,設定!$A$23:$A$27,0)),""),1,0))</f>
        <v/>
      </c>
    </row>
    <row r="904" customFormat="false" ht="15" hidden="false" customHeight="false" outlineLevel="0" collapsed="false">
      <c r="A904" s="12" t="n">
        <v>896</v>
      </c>
      <c r="B904" s="13"/>
      <c r="C904" s="12" t="str">
        <f aca="false">IF(B904="","",IF(B904=IFERROR(INDEX(設定!$B$18:$F$18,MATCH(入力!$B$4,設定!$A$23:$A$27,0)),""),1,0))</f>
        <v/>
      </c>
    </row>
    <row r="905" customFormat="false" ht="15" hidden="false" customHeight="false" outlineLevel="0" collapsed="false">
      <c r="A905" s="12" t="n">
        <v>897</v>
      </c>
      <c r="B905" s="13"/>
      <c r="C905" s="12" t="str">
        <f aca="false">IF(B905="","",IF(B905=IFERROR(INDEX(設定!$B$18:$F$18,MATCH(入力!$B$4,設定!$A$23:$A$27,0)),""),1,0))</f>
        <v/>
      </c>
    </row>
    <row r="906" customFormat="false" ht="15" hidden="false" customHeight="false" outlineLevel="0" collapsed="false">
      <c r="A906" s="12" t="n">
        <v>898</v>
      </c>
      <c r="B906" s="13"/>
      <c r="C906" s="12" t="str">
        <f aca="false">IF(B906="","",IF(B906=IFERROR(INDEX(設定!$B$18:$F$18,MATCH(入力!$B$4,設定!$A$23:$A$27,0)),""),1,0))</f>
        <v/>
      </c>
    </row>
    <row r="907" customFormat="false" ht="15" hidden="false" customHeight="false" outlineLevel="0" collapsed="false">
      <c r="A907" s="12" t="n">
        <v>899</v>
      </c>
      <c r="B907" s="13"/>
      <c r="C907" s="12" t="str">
        <f aca="false">IF(B907="","",IF(B907=IFERROR(INDEX(設定!$B$18:$F$18,MATCH(入力!$B$4,設定!$A$23:$A$27,0)),""),1,0))</f>
        <v/>
      </c>
    </row>
    <row r="908" customFormat="false" ht="15" hidden="false" customHeight="false" outlineLevel="0" collapsed="false">
      <c r="A908" s="12" t="n">
        <v>900</v>
      </c>
      <c r="B908" s="13"/>
      <c r="C908" s="12" t="str">
        <f aca="false">IF(B908="","",IF(B908=IFERROR(INDEX(設定!$B$18:$F$18,MATCH(入力!$B$4,設定!$A$23:$A$27,0)),""),1,0))</f>
        <v/>
      </c>
    </row>
    <row r="909" customFormat="false" ht="15" hidden="false" customHeight="false" outlineLevel="0" collapsed="false">
      <c r="A909" s="12" t="n">
        <v>901</v>
      </c>
      <c r="B909" s="13"/>
      <c r="C909" s="12" t="str">
        <f aca="false">IF(B909="","",IF(B909=IFERROR(INDEX(設定!$B$18:$F$18,MATCH(入力!$B$4,設定!$A$23:$A$27,0)),""),1,0))</f>
        <v/>
      </c>
    </row>
    <row r="910" customFormat="false" ht="15" hidden="false" customHeight="false" outlineLevel="0" collapsed="false">
      <c r="A910" s="12" t="n">
        <v>902</v>
      </c>
      <c r="B910" s="13"/>
      <c r="C910" s="12" t="str">
        <f aca="false">IF(B910="","",IF(B910=IFERROR(INDEX(設定!$B$18:$F$18,MATCH(入力!$B$4,設定!$A$23:$A$27,0)),""),1,0))</f>
        <v/>
      </c>
    </row>
    <row r="911" customFormat="false" ht="15" hidden="false" customHeight="false" outlineLevel="0" collapsed="false">
      <c r="A911" s="12" t="n">
        <v>903</v>
      </c>
      <c r="B911" s="13"/>
      <c r="C911" s="12" t="str">
        <f aca="false">IF(B911="","",IF(B911=IFERROR(INDEX(設定!$B$18:$F$18,MATCH(入力!$B$4,設定!$A$23:$A$27,0)),""),1,0))</f>
        <v/>
      </c>
    </row>
    <row r="912" customFormat="false" ht="15" hidden="false" customHeight="false" outlineLevel="0" collapsed="false">
      <c r="A912" s="12" t="n">
        <v>904</v>
      </c>
      <c r="B912" s="13"/>
      <c r="C912" s="12" t="str">
        <f aca="false">IF(B912="","",IF(B912=IFERROR(INDEX(設定!$B$18:$F$18,MATCH(入力!$B$4,設定!$A$23:$A$27,0)),""),1,0))</f>
        <v/>
      </c>
    </row>
    <row r="913" customFormat="false" ht="15" hidden="false" customHeight="false" outlineLevel="0" collapsed="false">
      <c r="A913" s="12" t="n">
        <v>905</v>
      </c>
      <c r="B913" s="13"/>
      <c r="C913" s="12" t="str">
        <f aca="false">IF(B913="","",IF(B913=IFERROR(INDEX(設定!$B$18:$F$18,MATCH(入力!$B$4,設定!$A$23:$A$27,0)),""),1,0))</f>
        <v/>
      </c>
    </row>
    <row r="914" customFormat="false" ht="15" hidden="false" customHeight="false" outlineLevel="0" collapsed="false">
      <c r="A914" s="12" t="n">
        <v>906</v>
      </c>
      <c r="B914" s="13"/>
      <c r="C914" s="12" t="str">
        <f aca="false">IF(B914="","",IF(B914=IFERROR(INDEX(設定!$B$18:$F$18,MATCH(入力!$B$4,設定!$A$23:$A$27,0)),""),1,0))</f>
        <v/>
      </c>
    </row>
    <row r="915" customFormat="false" ht="15" hidden="false" customHeight="false" outlineLevel="0" collapsed="false">
      <c r="A915" s="12" t="n">
        <v>907</v>
      </c>
      <c r="B915" s="13"/>
      <c r="C915" s="12" t="str">
        <f aca="false">IF(B915="","",IF(B915=IFERROR(INDEX(設定!$B$18:$F$18,MATCH(入力!$B$4,設定!$A$23:$A$27,0)),""),1,0))</f>
        <v/>
      </c>
    </row>
    <row r="916" customFormat="false" ht="15" hidden="false" customHeight="false" outlineLevel="0" collapsed="false">
      <c r="A916" s="12" t="n">
        <v>908</v>
      </c>
      <c r="B916" s="13"/>
      <c r="C916" s="12" t="str">
        <f aca="false">IF(B916="","",IF(B916=IFERROR(INDEX(設定!$B$18:$F$18,MATCH(入力!$B$4,設定!$A$23:$A$27,0)),""),1,0))</f>
        <v/>
      </c>
    </row>
    <row r="917" customFormat="false" ht="15" hidden="false" customHeight="false" outlineLevel="0" collapsed="false">
      <c r="A917" s="12" t="n">
        <v>909</v>
      </c>
      <c r="B917" s="13"/>
      <c r="C917" s="12" t="str">
        <f aca="false">IF(B917="","",IF(B917=IFERROR(INDEX(設定!$B$18:$F$18,MATCH(入力!$B$4,設定!$A$23:$A$27,0)),""),1,0))</f>
        <v/>
      </c>
    </row>
    <row r="918" customFormat="false" ht="15" hidden="false" customHeight="false" outlineLevel="0" collapsed="false">
      <c r="A918" s="12" t="n">
        <v>910</v>
      </c>
      <c r="B918" s="13"/>
      <c r="C918" s="12" t="str">
        <f aca="false">IF(B918="","",IF(B918=IFERROR(INDEX(設定!$B$18:$F$18,MATCH(入力!$B$4,設定!$A$23:$A$27,0)),""),1,0))</f>
        <v/>
      </c>
    </row>
    <row r="919" customFormat="false" ht="15" hidden="false" customHeight="false" outlineLevel="0" collapsed="false">
      <c r="A919" s="12" t="n">
        <v>911</v>
      </c>
      <c r="B919" s="13"/>
      <c r="C919" s="12" t="str">
        <f aca="false">IF(B919="","",IF(B919=IFERROR(INDEX(設定!$B$18:$F$18,MATCH(入力!$B$4,設定!$A$23:$A$27,0)),""),1,0))</f>
        <v/>
      </c>
    </row>
    <row r="920" customFormat="false" ht="15" hidden="false" customHeight="false" outlineLevel="0" collapsed="false">
      <c r="A920" s="12" t="n">
        <v>912</v>
      </c>
      <c r="B920" s="13"/>
      <c r="C920" s="12" t="str">
        <f aca="false">IF(B920="","",IF(B920=IFERROR(INDEX(設定!$B$18:$F$18,MATCH(入力!$B$4,設定!$A$23:$A$27,0)),""),1,0))</f>
        <v/>
      </c>
    </row>
    <row r="921" customFormat="false" ht="15" hidden="false" customHeight="false" outlineLevel="0" collapsed="false">
      <c r="A921" s="12" t="n">
        <v>913</v>
      </c>
      <c r="B921" s="13"/>
      <c r="C921" s="12" t="str">
        <f aca="false">IF(B921="","",IF(B921=IFERROR(INDEX(設定!$B$18:$F$18,MATCH(入力!$B$4,設定!$A$23:$A$27,0)),""),1,0))</f>
        <v/>
      </c>
    </row>
    <row r="922" customFormat="false" ht="15" hidden="false" customHeight="false" outlineLevel="0" collapsed="false">
      <c r="A922" s="12" t="n">
        <v>914</v>
      </c>
      <c r="B922" s="13"/>
      <c r="C922" s="12" t="str">
        <f aca="false">IF(B922="","",IF(B922=IFERROR(INDEX(設定!$B$18:$F$18,MATCH(入力!$B$4,設定!$A$23:$A$27,0)),""),1,0))</f>
        <v/>
      </c>
    </row>
    <row r="923" customFormat="false" ht="15" hidden="false" customHeight="false" outlineLevel="0" collapsed="false">
      <c r="A923" s="12" t="n">
        <v>915</v>
      </c>
      <c r="B923" s="13"/>
      <c r="C923" s="12" t="str">
        <f aca="false">IF(B923="","",IF(B923=IFERROR(INDEX(設定!$B$18:$F$18,MATCH(入力!$B$4,設定!$A$23:$A$27,0)),""),1,0))</f>
        <v/>
      </c>
    </row>
    <row r="924" customFormat="false" ht="15" hidden="false" customHeight="false" outlineLevel="0" collapsed="false">
      <c r="A924" s="12" t="n">
        <v>916</v>
      </c>
      <c r="B924" s="13"/>
      <c r="C924" s="12" t="str">
        <f aca="false">IF(B924="","",IF(B924=IFERROR(INDEX(設定!$B$18:$F$18,MATCH(入力!$B$4,設定!$A$23:$A$27,0)),""),1,0))</f>
        <v/>
      </c>
    </row>
    <row r="925" customFormat="false" ht="15" hidden="false" customHeight="false" outlineLevel="0" collapsed="false">
      <c r="A925" s="12" t="n">
        <v>917</v>
      </c>
      <c r="B925" s="13"/>
      <c r="C925" s="12" t="str">
        <f aca="false">IF(B925="","",IF(B925=IFERROR(INDEX(設定!$B$18:$F$18,MATCH(入力!$B$4,設定!$A$23:$A$27,0)),""),1,0))</f>
        <v/>
      </c>
    </row>
    <row r="926" customFormat="false" ht="15" hidden="false" customHeight="false" outlineLevel="0" collapsed="false">
      <c r="A926" s="12" t="n">
        <v>918</v>
      </c>
      <c r="B926" s="13"/>
      <c r="C926" s="12" t="str">
        <f aca="false">IF(B926="","",IF(B926=IFERROR(INDEX(設定!$B$18:$F$18,MATCH(入力!$B$4,設定!$A$23:$A$27,0)),""),1,0))</f>
        <v/>
      </c>
    </row>
    <row r="927" customFormat="false" ht="15" hidden="false" customHeight="false" outlineLevel="0" collapsed="false">
      <c r="A927" s="12" t="n">
        <v>919</v>
      </c>
      <c r="B927" s="13"/>
      <c r="C927" s="12" t="str">
        <f aca="false">IF(B927="","",IF(B927=IFERROR(INDEX(設定!$B$18:$F$18,MATCH(入力!$B$4,設定!$A$23:$A$27,0)),""),1,0))</f>
        <v/>
      </c>
    </row>
    <row r="928" customFormat="false" ht="15" hidden="false" customHeight="false" outlineLevel="0" collapsed="false">
      <c r="A928" s="12" t="n">
        <v>920</v>
      </c>
      <c r="B928" s="13"/>
      <c r="C928" s="12" t="str">
        <f aca="false">IF(B928="","",IF(B928=IFERROR(INDEX(設定!$B$18:$F$18,MATCH(入力!$B$4,設定!$A$23:$A$27,0)),""),1,0))</f>
        <v/>
      </c>
    </row>
    <row r="929" customFormat="false" ht="15" hidden="false" customHeight="false" outlineLevel="0" collapsed="false">
      <c r="A929" s="12" t="n">
        <v>921</v>
      </c>
      <c r="B929" s="13"/>
      <c r="C929" s="12" t="str">
        <f aca="false">IF(B929="","",IF(B929=IFERROR(INDEX(設定!$B$18:$F$18,MATCH(入力!$B$4,設定!$A$23:$A$27,0)),""),1,0))</f>
        <v/>
      </c>
    </row>
    <row r="930" customFormat="false" ht="15" hidden="false" customHeight="false" outlineLevel="0" collapsed="false">
      <c r="A930" s="12" t="n">
        <v>922</v>
      </c>
      <c r="B930" s="13"/>
      <c r="C930" s="12" t="str">
        <f aca="false">IF(B930="","",IF(B930=IFERROR(INDEX(設定!$B$18:$F$18,MATCH(入力!$B$4,設定!$A$23:$A$27,0)),""),1,0))</f>
        <v/>
      </c>
    </row>
    <row r="931" customFormat="false" ht="15" hidden="false" customHeight="false" outlineLevel="0" collapsed="false">
      <c r="A931" s="12" t="n">
        <v>923</v>
      </c>
      <c r="B931" s="13"/>
      <c r="C931" s="12" t="str">
        <f aca="false">IF(B931="","",IF(B931=IFERROR(INDEX(設定!$B$18:$F$18,MATCH(入力!$B$4,設定!$A$23:$A$27,0)),""),1,0))</f>
        <v/>
      </c>
    </row>
    <row r="932" customFormat="false" ht="15" hidden="false" customHeight="false" outlineLevel="0" collapsed="false">
      <c r="A932" s="12" t="n">
        <v>924</v>
      </c>
      <c r="B932" s="13"/>
      <c r="C932" s="12" t="str">
        <f aca="false">IF(B932="","",IF(B932=IFERROR(INDEX(設定!$B$18:$F$18,MATCH(入力!$B$4,設定!$A$23:$A$27,0)),""),1,0))</f>
        <v/>
      </c>
    </row>
    <row r="933" customFormat="false" ht="15" hidden="false" customHeight="false" outlineLevel="0" collapsed="false">
      <c r="A933" s="12" t="n">
        <v>925</v>
      </c>
      <c r="B933" s="13"/>
      <c r="C933" s="12" t="str">
        <f aca="false">IF(B933="","",IF(B933=IFERROR(INDEX(設定!$B$18:$F$18,MATCH(入力!$B$4,設定!$A$23:$A$27,0)),""),1,0))</f>
        <v/>
      </c>
    </row>
    <row r="934" customFormat="false" ht="15" hidden="false" customHeight="false" outlineLevel="0" collapsed="false">
      <c r="A934" s="12" t="n">
        <v>926</v>
      </c>
      <c r="B934" s="13"/>
      <c r="C934" s="12" t="str">
        <f aca="false">IF(B934="","",IF(B934=IFERROR(INDEX(設定!$B$18:$F$18,MATCH(入力!$B$4,設定!$A$23:$A$27,0)),""),1,0))</f>
        <v/>
      </c>
    </row>
    <row r="935" customFormat="false" ht="15" hidden="false" customHeight="false" outlineLevel="0" collapsed="false">
      <c r="A935" s="12" t="n">
        <v>927</v>
      </c>
      <c r="B935" s="13"/>
      <c r="C935" s="12" t="str">
        <f aca="false">IF(B935="","",IF(B935=IFERROR(INDEX(設定!$B$18:$F$18,MATCH(入力!$B$4,設定!$A$23:$A$27,0)),""),1,0))</f>
        <v/>
      </c>
    </row>
    <row r="936" customFormat="false" ht="15" hidden="false" customHeight="false" outlineLevel="0" collapsed="false">
      <c r="A936" s="12" t="n">
        <v>928</v>
      </c>
      <c r="B936" s="13"/>
      <c r="C936" s="12" t="str">
        <f aca="false">IF(B936="","",IF(B936=IFERROR(INDEX(設定!$B$18:$F$18,MATCH(入力!$B$4,設定!$A$23:$A$27,0)),""),1,0))</f>
        <v/>
      </c>
    </row>
    <row r="937" customFormat="false" ht="15" hidden="false" customHeight="false" outlineLevel="0" collapsed="false">
      <c r="A937" s="12" t="n">
        <v>929</v>
      </c>
      <c r="B937" s="13"/>
      <c r="C937" s="12" t="str">
        <f aca="false">IF(B937="","",IF(B937=IFERROR(INDEX(設定!$B$18:$F$18,MATCH(入力!$B$4,設定!$A$23:$A$27,0)),""),1,0))</f>
        <v/>
      </c>
    </row>
    <row r="938" customFormat="false" ht="15" hidden="false" customHeight="false" outlineLevel="0" collapsed="false">
      <c r="A938" s="12" t="n">
        <v>930</v>
      </c>
      <c r="B938" s="13"/>
      <c r="C938" s="12" t="str">
        <f aca="false">IF(B938="","",IF(B938=IFERROR(INDEX(設定!$B$18:$F$18,MATCH(入力!$B$4,設定!$A$23:$A$27,0)),""),1,0))</f>
        <v/>
      </c>
    </row>
    <row r="939" customFormat="false" ht="15" hidden="false" customHeight="false" outlineLevel="0" collapsed="false">
      <c r="A939" s="12" t="n">
        <v>931</v>
      </c>
      <c r="B939" s="13"/>
      <c r="C939" s="12" t="str">
        <f aca="false">IF(B939="","",IF(B939=IFERROR(INDEX(設定!$B$18:$F$18,MATCH(入力!$B$4,設定!$A$23:$A$27,0)),""),1,0))</f>
        <v/>
      </c>
    </row>
    <row r="940" customFormat="false" ht="15" hidden="false" customHeight="false" outlineLevel="0" collapsed="false">
      <c r="A940" s="12" t="n">
        <v>932</v>
      </c>
      <c r="B940" s="13"/>
      <c r="C940" s="12" t="str">
        <f aca="false">IF(B940="","",IF(B940=IFERROR(INDEX(設定!$B$18:$F$18,MATCH(入力!$B$4,設定!$A$23:$A$27,0)),""),1,0))</f>
        <v/>
      </c>
    </row>
    <row r="941" customFormat="false" ht="15" hidden="false" customHeight="false" outlineLevel="0" collapsed="false">
      <c r="A941" s="12" t="n">
        <v>933</v>
      </c>
      <c r="B941" s="13"/>
      <c r="C941" s="12" t="str">
        <f aca="false">IF(B941="","",IF(B941=IFERROR(INDEX(設定!$B$18:$F$18,MATCH(入力!$B$4,設定!$A$23:$A$27,0)),""),1,0))</f>
        <v/>
      </c>
    </row>
    <row r="942" customFormat="false" ht="15" hidden="false" customHeight="false" outlineLevel="0" collapsed="false">
      <c r="A942" s="12" t="n">
        <v>934</v>
      </c>
      <c r="B942" s="13"/>
      <c r="C942" s="12" t="str">
        <f aca="false">IF(B942="","",IF(B942=IFERROR(INDEX(設定!$B$18:$F$18,MATCH(入力!$B$4,設定!$A$23:$A$27,0)),""),1,0))</f>
        <v/>
      </c>
    </row>
    <row r="943" customFormat="false" ht="15" hidden="false" customHeight="false" outlineLevel="0" collapsed="false">
      <c r="A943" s="12" t="n">
        <v>935</v>
      </c>
      <c r="B943" s="13"/>
      <c r="C943" s="12" t="str">
        <f aca="false">IF(B943="","",IF(B943=IFERROR(INDEX(設定!$B$18:$F$18,MATCH(入力!$B$4,設定!$A$23:$A$27,0)),""),1,0))</f>
        <v/>
      </c>
    </row>
    <row r="944" customFormat="false" ht="15" hidden="false" customHeight="false" outlineLevel="0" collapsed="false">
      <c r="A944" s="12" t="n">
        <v>936</v>
      </c>
      <c r="B944" s="13"/>
      <c r="C944" s="12" t="str">
        <f aca="false">IF(B944="","",IF(B944=IFERROR(INDEX(設定!$B$18:$F$18,MATCH(入力!$B$4,設定!$A$23:$A$27,0)),""),1,0))</f>
        <v/>
      </c>
    </row>
    <row r="945" customFormat="false" ht="15" hidden="false" customHeight="false" outlineLevel="0" collapsed="false">
      <c r="A945" s="12" t="n">
        <v>937</v>
      </c>
      <c r="B945" s="13"/>
      <c r="C945" s="12" t="str">
        <f aca="false">IF(B945="","",IF(B945=IFERROR(INDEX(設定!$B$18:$F$18,MATCH(入力!$B$4,設定!$A$23:$A$27,0)),""),1,0))</f>
        <v/>
      </c>
    </row>
    <row r="946" customFormat="false" ht="15" hidden="false" customHeight="false" outlineLevel="0" collapsed="false">
      <c r="A946" s="12" t="n">
        <v>938</v>
      </c>
      <c r="B946" s="13"/>
      <c r="C946" s="12" t="str">
        <f aca="false">IF(B946="","",IF(B946=IFERROR(INDEX(設定!$B$18:$F$18,MATCH(入力!$B$4,設定!$A$23:$A$27,0)),""),1,0))</f>
        <v/>
      </c>
    </row>
    <row r="947" customFormat="false" ht="15" hidden="false" customHeight="false" outlineLevel="0" collapsed="false">
      <c r="A947" s="12" t="n">
        <v>939</v>
      </c>
      <c r="B947" s="13"/>
      <c r="C947" s="12" t="str">
        <f aca="false">IF(B947="","",IF(B947=IFERROR(INDEX(設定!$B$18:$F$18,MATCH(入力!$B$4,設定!$A$23:$A$27,0)),""),1,0))</f>
        <v/>
      </c>
    </row>
    <row r="948" customFormat="false" ht="15" hidden="false" customHeight="false" outlineLevel="0" collapsed="false">
      <c r="A948" s="12" t="n">
        <v>940</v>
      </c>
      <c r="B948" s="13"/>
      <c r="C948" s="12" t="str">
        <f aca="false">IF(B948="","",IF(B948=IFERROR(INDEX(設定!$B$18:$F$18,MATCH(入力!$B$4,設定!$A$23:$A$27,0)),""),1,0))</f>
        <v/>
      </c>
    </row>
    <row r="949" customFormat="false" ht="15" hidden="false" customHeight="false" outlineLevel="0" collapsed="false">
      <c r="A949" s="12" t="n">
        <v>941</v>
      </c>
      <c r="B949" s="13"/>
      <c r="C949" s="12" t="str">
        <f aca="false">IF(B949="","",IF(B949=IFERROR(INDEX(設定!$B$18:$F$18,MATCH(入力!$B$4,設定!$A$23:$A$27,0)),""),1,0))</f>
        <v/>
      </c>
    </row>
    <row r="950" customFormat="false" ht="15" hidden="false" customHeight="false" outlineLevel="0" collapsed="false">
      <c r="A950" s="12" t="n">
        <v>942</v>
      </c>
      <c r="B950" s="13"/>
      <c r="C950" s="12" t="str">
        <f aca="false">IF(B950="","",IF(B950=IFERROR(INDEX(設定!$B$18:$F$18,MATCH(入力!$B$4,設定!$A$23:$A$27,0)),""),1,0))</f>
        <v/>
      </c>
    </row>
    <row r="951" customFormat="false" ht="15" hidden="false" customHeight="false" outlineLevel="0" collapsed="false">
      <c r="A951" s="12" t="n">
        <v>943</v>
      </c>
      <c r="B951" s="13"/>
      <c r="C951" s="12" t="str">
        <f aca="false">IF(B951="","",IF(B951=IFERROR(INDEX(設定!$B$18:$F$18,MATCH(入力!$B$4,設定!$A$23:$A$27,0)),""),1,0))</f>
        <v/>
      </c>
    </row>
    <row r="952" customFormat="false" ht="15" hidden="false" customHeight="false" outlineLevel="0" collapsed="false">
      <c r="A952" s="12" t="n">
        <v>944</v>
      </c>
      <c r="B952" s="13"/>
      <c r="C952" s="12" t="str">
        <f aca="false">IF(B952="","",IF(B952=IFERROR(INDEX(設定!$B$18:$F$18,MATCH(入力!$B$4,設定!$A$23:$A$27,0)),""),1,0))</f>
        <v/>
      </c>
    </row>
    <row r="953" customFormat="false" ht="15" hidden="false" customHeight="false" outlineLevel="0" collapsed="false">
      <c r="A953" s="12" t="n">
        <v>945</v>
      </c>
      <c r="B953" s="13"/>
      <c r="C953" s="12" t="str">
        <f aca="false">IF(B953="","",IF(B953=IFERROR(INDEX(設定!$B$18:$F$18,MATCH(入力!$B$4,設定!$A$23:$A$27,0)),""),1,0))</f>
        <v/>
      </c>
    </row>
    <row r="954" customFormat="false" ht="15" hidden="false" customHeight="false" outlineLevel="0" collapsed="false">
      <c r="A954" s="12" t="n">
        <v>946</v>
      </c>
      <c r="B954" s="13"/>
      <c r="C954" s="12" t="str">
        <f aca="false">IF(B954="","",IF(B954=IFERROR(INDEX(設定!$B$18:$F$18,MATCH(入力!$B$4,設定!$A$23:$A$27,0)),""),1,0))</f>
        <v/>
      </c>
    </row>
    <row r="955" customFormat="false" ht="15" hidden="false" customHeight="false" outlineLevel="0" collapsed="false">
      <c r="A955" s="12" t="n">
        <v>947</v>
      </c>
      <c r="B955" s="13"/>
      <c r="C955" s="12" t="str">
        <f aca="false">IF(B955="","",IF(B955=IFERROR(INDEX(設定!$B$18:$F$18,MATCH(入力!$B$4,設定!$A$23:$A$27,0)),""),1,0))</f>
        <v/>
      </c>
    </row>
    <row r="956" customFormat="false" ht="15" hidden="false" customHeight="false" outlineLevel="0" collapsed="false">
      <c r="A956" s="12" t="n">
        <v>948</v>
      </c>
      <c r="B956" s="13"/>
      <c r="C956" s="12" t="str">
        <f aca="false">IF(B956="","",IF(B956=IFERROR(INDEX(設定!$B$18:$F$18,MATCH(入力!$B$4,設定!$A$23:$A$27,0)),""),1,0))</f>
        <v/>
      </c>
    </row>
    <row r="957" customFormat="false" ht="15" hidden="false" customHeight="false" outlineLevel="0" collapsed="false">
      <c r="A957" s="12" t="n">
        <v>949</v>
      </c>
      <c r="B957" s="13"/>
      <c r="C957" s="12" t="str">
        <f aca="false">IF(B957="","",IF(B957=IFERROR(INDEX(設定!$B$18:$F$18,MATCH(入力!$B$4,設定!$A$23:$A$27,0)),""),1,0))</f>
        <v/>
      </c>
    </row>
    <row r="958" customFormat="false" ht="15" hidden="false" customHeight="false" outlineLevel="0" collapsed="false">
      <c r="A958" s="12" t="n">
        <v>950</v>
      </c>
      <c r="B958" s="13"/>
      <c r="C958" s="12" t="str">
        <f aca="false">IF(B958="","",IF(B958=IFERROR(INDEX(設定!$B$18:$F$18,MATCH(入力!$B$4,設定!$A$23:$A$27,0)),""),1,0))</f>
        <v/>
      </c>
    </row>
    <row r="959" customFormat="false" ht="15" hidden="false" customHeight="false" outlineLevel="0" collapsed="false">
      <c r="A959" s="12" t="n">
        <v>951</v>
      </c>
      <c r="B959" s="13"/>
      <c r="C959" s="12" t="str">
        <f aca="false">IF(B959="","",IF(B959=IFERROR(INDEX(設定!$B$18:$F$18,MATCH(入力!$B$4,設定!$A$23:$A$27,0)),""),1,0))</f>
        <v/>
      </c>
    </row>
    <row r="960" customFormat="false" ht="15" hidden="false" customHeight="false" outlineLevel="0" collapsed="false">
      <c r="A960" s="12" t="n">
        <v>952</v>
      </c>
      <c r="B960" s="13"/>
      <c r="C960" s="12" t="str">
        <f aca="false">IF(B960="","",IF(B960=IFERROR(INDEX(設定!$B$18:$F$18,MATCH(入力!$B$4,設定!$A$23:$A$27,0)),""),1,0))</f>
        <v/>
      </c>
    </row>
    <row r="961" customFormat="false" ht="15" hidden="false" customHeight="false" outlineLevel="0" collapsed="false">
      <c r="A961" s="12" t="n">
        <v>953</v>
      </c>
      <c r="B961" s="13"/>
      <c r="C961" s="12" t="str">
        <f aca="false">IF(B961="","",IF(B961=IFERROR(INDEX(設定!$B$18:$F$18,MATCH(入力!$B$4,設定!$A$23:$A$27,0)),""),1,0))</f>
        <v/>
      </c>
    </row>
    <row r="962" customFormat="false" ht="15" hidden="false" customHeight="false" outlineLevel="0" collapsed="false">
      <c r="A962" s="12" t="n">
        <v>954</v>
      </c>
      <c r="B962" s="13"/>
      <c r="C962" s="12" t="str">
        <f aca="false">IF(B962="","",IF(B962=IFERROR(INDEX(設定!$B$18:$F$18,MATCH(入力!$B$4,設定!$A$23:$A$27,0)),""),1,0))</f>
        <v/>
      </c>
    </row>
    <row r="963" customFormat="false" ht="15" hidden="false" customHeight="false" outlineLevel="0" collapsed="false">
      <c r="A963" s="12" t="n">
        <v>955</v>
      </c>
      <c r="B963" s="13"/>
      <c r="C963" s="12" t="str">
        <f aca="false">IF(B963="","",IF(B963=IFERROR(INDEX(設定!$B$18:$F$18,MATCH(入力!$B$4,設定!$A$23:$A$27,0)),""),1,0))</f>
        <v/>
      </c>
    </row>
    <row r="964" customFormat="false" ht="15" hidden="false" customHeight="false" outlineLevel="0" collapsed="false">
      <c r="A964" s="12" t="n">
        <v>956</v>
      </c>
      <c r="B964" s="13"/>
      <c r="C964" s="12" t="str">
        <f aca="false">IF(B964="","",IF(B964=IFERROR(INDEX(設定!$B$18:$F$18,MATCH(入力!$B$4,設定!$A$23:$A$27,0)),""),1,0))</f>
        <v/>
      </c>
    </row>
    <row r="965" customFormat="false" ht="15" hidden="false" customHeight="false" outlineLevel="0" collapsed="false">
      <c r="A965" s="12" t="n">
        <v>957</v>
      </c>
      <c r="B965" s="13"/>
      <c r="C965" s="12" t="str">
        <f aca="false">IF(B965="","",IF(B965=IFERROR(INDEX(設定!$B$18:$F$18,MATCH(入力!$B$4,設定!$A$23:$A$27,0)),""),1,0))</f>
        <v/>
      </c>
    </row>
    <row r="966" customFormat="false" ht="15" hidden="false" customHeight="false" outlineLevel="0" collapsed="false">
      <c r="A966" s="12" t="n">
        <v>958</v>
      </c>
      <c r="B966" s="13"/>
      <c r="C966" s="12" t="str">
        <f aca="false">IF(B966="","",IF(B966=IFERROR(INDEX(設定!$B$18:$F$18,MATCH(入力!$B$4,設定!$A$23:$A$27,0)),""),1,0))</f>
        <v/>
      </c>
    </row>
    <row r="967" customFormat="false" ht="15" hidden="false" customHeight="false" outlineLevel="0" collapsed="false">
      <c r="A967" s="12" t="n">
        <v>959</v>
      </c>
      <c r="B967" s="13"/>
      <c r="C967" s="12" t="str">
        <f aca="false">IF(B967="","",IF(B967=IFERROR(INDEX(設定!$B$18:$F$18,MATCH(入力!$B$4,設定!$A$23:$A$27,0)),""),1,0))</f>
        <v/>
      </c>
    </row>
    <row r="968" customFormat="false" ht="15" hidden="false" customHeight="false" outlineLevel="0" collapsed="false">
      <c r="A968" s="12" t="n">
        <v>960</v>
      </c>
      <c r="B968" s="13"/>
      <c r="C968" s="12" t="str">
        <f aca="false">IF(B968="","",IF(B968=IFERROR(INDEX(設定!$B$18:$F$18,MATCH(入力!$B$4,設定!$A$23:$A$27,0)),""),1,0))</f>
        <v/>
      </c>
    </row>
    <row r="969" customFormat="false" ht="15" hidden="false" customHeight="false" outlineLevel="0" collapsed="false">
      <c r="A969" s="12" t="n">
        <v>961</v>
      </c>
      <c r="B969" s="13"/>
      <c r="C969" s="12" t="str">
        <f aca="false">IF(B969="","",IF(B969=IFERROR(INDEX(設定!$B$18:$F$18,MATCH(入力!$B$4,設定!$A$23:$A$27,0)),""),1,0))</f>
        <v/>
      </c>
    </row>
    <row r="970" customFormat="false" ht="15" hidden="false" customHeight="false" outlineLevel="0" collapsed="false">
      <c r="A970" s="12" t="n">
        <v>962</v>
      </c>
      <c r="B970" s="13"/>
      <c r="C970" s="12" t="str">
        <f aca="false">IF(B970="","",IF(B970=IFERROR(INDEX(設定!$B$18:$F$18,MATCH(入力!$B$4,設定!$A$23:$A$27,0)),""),1,0))</f>
        <v/>
      </c>
    </row>
    <row r="971" customFormat="false" ht="15" hidden="false" customHeight="false" outlineLevel="0" collapsed="false">
      <c r="A971" s="12" t="n">
        <v>963</v>
      </c>
      <c r="B971" s="13"/>
      <c r="C971" s="12" t="str">
        <f aca="false">IF(B971="","",IF(B971=IFERROR(INDEX(設定!$B$18:$F$18,MATCH(入力!$B$4,設定!$A$23:$A$27,0)),""),1,0))</f>
        <v/>
      </c>
    </row>
    <row r="972" customFormat="false" ht="15" hidden="false" customHeight="false" outlineLevel="0" collapsed="false">
      <c r="A972" s="12" t="n">
        <v>964</v>
      </c>
      <c r="B972" s="13"/>
      <c r="C972" s="12" t="str">
        <f aca="false">IF(B972="","",IF(B972=IFERROR(INDEX(設定!$B$18:$F$18,MATCH(入力!$B$4,設定!$A$23:$A$27,0)),""),1,0))</f>
        <v/>
      </c>
    </row>
    <row r="973" customFormat="false" ht="15" hidden="false" customHeight="false" outlineLevel="0" collapsed="false">
      <c r="A973" s="12" t="n">
        <v>965</v>
      </c>
      <c r="B973" s="13"/>
      <c r="C973" s="12" t="str">
        <f aca="false">IF(B973="","",IF(B973=IFERROR(INDEX(設定!$B$18:$F$18,MATCH(入力!$B$4,設定!$A$23:$A$27,0)),""),1,0))</f>
        <v/>
      </c>
    </row>
    <row r="974" customFormat="false" ht="15" hidden="false" customHeight="false" outlineLevel="0" collapsed="false">
      <c r="A974" s="12" t="n">
        <v>966</v>
      </c>
      <c r="B974" s="13"/>
      <c r="C974" s="12" t="str">
        <f aca="false">IF(B974="","",IF(B974=IFERROR(INDEX(設定!$B$18:$F$18,MATCH(入力!$B$4,設定!$A$23:$A$27,0)),""),1,0))</f>
        <v/>
      </c>
    </row>
    <row r="975" customFormat="false" ht="15" hidden="false" customHeight="false" outlineLevel="0" collapsed="false">
      <c r="A975" s="12" t="n">
        <v>967</v>
      </c>
      <c r="B975" s="13"/>
      <c r="C975" s="12" t="str">
        <f aca="false">IF(B975="","",IF(B975=IFERROR(INDEX(設定!$B$18:$F$18,MATCH(入力!$B$4,設定!$A$23:$A$27,0)),""),1,0))</f>
        <v/>
      </c>
    </row>
    <row r="976" customFormat="false" ht="15" hidden="false" customHeight="false" outlineLevel="0" collapsed="false">
      <c r="A976" s="12" t="n">
        <v>968</v>
      </c>
      <c r="B976" s="13"/>
      <c r="C976" s="12" t="str">
        <f aca="false">IF(B976="","",IF(B976=IFERROR(INDEX(設定!$B$18:$F$18,MATCH(入力!$B$4,設定!$A$23:$A$27,0)),""),1,0))</f>
        <v/>
      </c>
    </row>
    <row r="977" customFormat="false" ht="15" hidden="false" customHeight="false" outlineLevel="0" collapsed="false">
      <c r="A977" s="12" t="n">
        <v>969</v>
      </c>
      <c r="B977" s="13"/>
      <c r="C977" s="12" t="str">
        <f aca="false">IF(B977="","",IF(B977=IFERROR(INDEX(設定!$B$18:$F$18,MATCH(入力!$B$4,設定!$A$23:$A$27,0)),""),1,0))</f>
        <v/>
      </c>
    </row>
    <row r="978" customFormat="false" ht="15" hidden="false" customHeight="false" outlineLevel="0" collapsed="false">
      <c r="A978" s="12" t="n">
        <v>970</v>
      </c>
      <c r="B978" s="13"/>
      <c r="C978" s="12" t="str">
        <f aca="false">IF(B978="","",IF(B978=IFERROR(INDEX(設定!$B$18:$F$18,MATCH(入力!$B$4,設定!$A$23:$A$27,0)),""),1,0))</f>
        <v/>
      </c>
    </row>
    <row r="979" customFormat="false" ht="15" hidden="false" customHeight="false" outlineLevel="0" collapsed="false">
      <c r="A979" s="12" t="n">
        <v>971</v>
      </c>
      <c r="B979" s="13"/>
      <c r="C979" s="12" t="str">
        <f aca="false">IF(B979="","",IF(B979=IFERROR(INDEX(設定!$B$18:$F$18,MATCH(入力!$B$4,設定!$A$23:$A$27,0)),""),1,0))</f>
        <v/>
      </c>
    </row>
    <row r="980" customFormat="false" ht="15" hidden="false" customHeight="false" outlineLevel="0" collapsed="false">
      <c r="A980" s="12" t="n">
        <v>972</v>
      </c>
      <c r="B980" s="13"/>
      <c r="C980" s="12" t="str">
        <f aca="false">IF(B980="","",IF(B980=IFERROR(INDEX(設定!$B$18:$F$18,MATCH(入力!$B$4,設定!$A$23:$A$27,0)),""),1,0))</f>
        <v/>
      </c>
    </row>
    <row r="981" customFormat="false" ht="15" hidden="false" customHeight="false" outlineLevel="0" collapsed="false">
      <c r="A981" s="12" t="n">
        <v>973</v>
      </c>
      <c r="B981" s="13"/>
      <c r="C981" s="12" t="str">
        <f aca="false">IF(B981="","",IF(B981=IFERROR(INDEX(設定!$B$18:$F$18,MATCH(入力!$B$4,設定!$A$23:$A$27,0)),""),1,0))</f>
        <v/>
      </c>
    </row>
    <row r="982" customFormat="false" ht="15" hidden="false" customHeight="false" outlineLevel="0" collapsed="false">
      <c r="A982" s="12" t="n">
        <v>974</v>
      </c>
      <c r="B982" s="13"/>
      <c r="C982" s="12" t="str">
        <f aca="false">IF(B982="","",IF(B982=IFERROR(INDEX(設定!$B$18:$F$18,MATCH(入力!$B$4,設定!$A$23:$A$27,0)),""),1,0))</f>
        <v/>
      </c>
    </row>
    <row r="983" customFormat="false" ht="15" hidden="false" customHeight="false" outlineLevel="0" collapsed="false">
      <c r="A983" s="12" t="n">
        <v>975</v>
      </c>
      <c r="B983" s="13"/>
      <c r="C983" s="12" t="str">
        <f aca="false">IF(B983="","",IF(B983=IFERROR(INDEX(設定!$B$18:$F$18,MATCH(入力!$B$4,設定!$A$23:$A$27,0)),""),1,0))</f>
        <v/>
      </c>
    </row>
    <row r="984" customFormat="false" ht="15" hidden="false" customHeight="false" outlineLevel="0" collapsed="false">
      <c r="A984" s="12" t="n">
        <v>976</v>
      </c>
      <c r="B984" s="13"/>
      <c r="C984" s="12" t="str">
        <f aca="false">IF(B984="","",IF(B984=IFERROR(INDEX(設定!$B$18:$F$18,MATCH(入力!$B$4,設定!$A$23:$A$27,0)),""),1,0))</f>
        <v/>
      </c>
    </row>
    <row r="985" customFormat="false" ht="15" hidden="false" customHeight="false" outlineLevel="0" collapsed="false">
      <c r="A985" s="12" t="n">
        <v>977</v>
      </c>
      <c r="B985" s="13"/>
      <c r="C985" s="12" t="str">
        <f aca="false">IF(B985="","",IF(B985=IFERROR(INDEX(設定!$B$18:$F$18,MATCH(入力!$B$4,設定!$A$23:$A$27,0)),""),1,0))</f>
        <v/>
      </c>
    </row>
    <row r="986" customFormat="false" ht="15" hidden="false" customHeight="false" outlineLevel="0" collapsed="false">
      <c r="A986" s="12" t="n">
        <v>978</v>
      </c>
      <c r="B986" s="13"/>
      <c r="C986" s="12" t="str">
        <f aca="false">IF(B986="","",IF(B986=IFERROR(INDEX(設定!$B$18:$F$18,MATCH(入力!$B$4,設定!$A$23:$A$27,0)),""),1,0))</f>
        <v/>
      </c>
    </row>
    <row r="987" customFormat="false" ht="15" hidden="false" customHeight="false" outlineLevel="0" collapsed="false">
      <c r="A987" s="12" t="n">
        <v>979</v>
      </c>
      <c r="B987" s="13"/>
      <c r="C987" s="12" t="str">
        <f aca="false">IF(B987="","",IF(B987=IFERROR(INDEX(設定!$B$18:$F$18,MATCH(入力!$B$4,設定!$A$23:$A$27,0)),""),1,0))</f>
        <v/>
      </c>
    </row>
    <row r="988" customFormat="false" ht="15" hidden="false" customHeight="false" outlineLevel="0" collapsed="false">
      <c r="A988" s="12" t="n">
        <v>980</v>
      </c>
      <c r="B988" s="13"/>
      <c r="C988" s="12" t="str">
        <f aca="false">IF(B988="","",IF(B988=IFERROR(INDEX(設定!$B$18:$F$18,MATCH(入力!$B$4,設定!$A$23:$A$27,0)),""),1,0))</f>
        <v/>
      </c>
    </row>
    <row r="989" customFormat="false" ht="15" hidden="false" customHeight="false" outlineLevel="0" collapsed="false">
      <c r="A989" s="12" t="n">
        <v>981</v>
      </c>
      <c r="B989" s="13"/>
      <c r="C989" s="12" t="str">
        <f aca="false">IF(B989="","",IF(B989=IFERROR(INDEX(設定!$B$18:$F$18,MATCH(入力!$B$4,設定!$A$23:$A$27,0)),""),1,0))</f>
        <v/>
      </c>
    </row>
    <row r="990" customFormat="false" ht="15" hidden="false" customHeight="false" outlineLevel="0" collapsed="false">
      <c r="A990" s="12" t="n">
        <v>982</v>
      </c>
      <c r="B990" s="13"/>
      <c r="C990" s="12" t="str">
        <f aca="false">IF(B990="","",IF(B990=IFERROR(INDEX(設定!$B$18:$F$18,MATCH(入力!$B$4,設定!$A$23:$A$27,0)),""),1,0))</f>
        <v/>
      </c>
    </row>
    <row r="991" customFormat="false" ht="15" hidden="false" customHeight="false" outlineLevel="0" collapsed="false">
      <c r="A991" s="12" t="n">
        <v>983</v>
      </c>
      <c r="B991" s="13"/>
      <c r="C991" s="12" t="str">
        <f aca="false">IF(B991="","",IF(B991=IFERROR(INDEX(設定!$B$18:$F$18,MATCH(入力!$B$4,設定!$A$23:$A$27,0)),""),1,0))</f>
        <v/>
      </c>
    </row>
    <row r="992" customFormat="false" ht="15" hidden="false" customHeight="false" outlineLevel="0" collapsed="false">
      <c r="A992" s="12" t="n">
        <v>984</v>
      </c>
      <c r="B992" s="13"/>
      <c r="C992" s="12" t="str">
        <f aca="false">IF(B992="","",IF(B992=IFERROR(INDEX(設定!$B$18:$F$18,MATCH(入力!$B$4,設定!$A$23:$A$27,0)),""),1,0))</f>
        <v/>
      </c>
    </row>
    <row r="993" customFormat="false" ht="15" hidden="false" customHeight="false" outlineLevel="0" collapsed="false">
      <c r="A993" s="12" t="n">
        <v>985</v>
      </c>
      <c r="B993" s="13"/>
      <c r="C993" s="12" t="str">
        <f aca="false">IF(B993="","",IF(B993=IFERROR(INDEX(設定!$B$18:$F$18,MATCH(入力!$B$4,設定!$A$23:$A$27,0)),""),1,0))</f>
        <v/>
      </c>
    </row>
    <row r="994" customFormat="false" ht="15" hidden="false" customHeight="false" outlineLevel="0" collapsed="false">
      <c r="A994" s="12" t="n">
        <v>986</v>
      </c>
      <c r="B994" s="13"/>
      <c r="C994" s="12" t="str">
        <f aca="false">IF(B994="","",IF(B994=IFERROR(INDEX(設定!$B$18:$F$18,MATCH(入力!$B$4,設定!$A$23:$A$27,0)),""),1,0))</f>
        <v/>
      </c>
    </row>
    <row r="995" customFormat="false" ht="15" hidden="false" customHeight="false" outlineLevel="0" collapsed="false">
      <c r="A995" s="12" t="n">
        <v>987</v>
      </c>
      <c r="B995" s="13"/>
      <c r="C995" s="12" t="str">
        <f aca="false">IF(B995="","",IF(B995=IFERROR(INDEX(設定!$B$18:$F$18,MATCH(入力!$B$4,設定!$A$23:$A$27,0)),""),1,0))</f>
        <v/>
      </c>
    </row>
    <row r="996" customFormat="false" ht="15" hidden="false" customHeight="false" outlineLevel="0" collapsed="false">
      <c r="A996" s="12" t="n">
        <v>988</v>
      </c>
      <c r="B996" s="13"/>
      <c r="C996" s="12" t="str">
        <f aca="false">IF(B996="","",IF(B996=IFERROR(INDEX(設定!$B$18:$F$18,MATCH(入力!$B$4,設定!$A$23:$A$27,0)),""),1,0))</f>
        <v/>
      </c>
    </row>
    <row r="997" customFormat="false" ht="15" hidden="false" customHeight="false" outlineLevel="0" collapsed="false">
      <c r="A997" s="12" t="n">
        <v>989</v>
      </c>
      <c r="B997" s="13"/>
      <c r="C997" s="12" t="str">
        <f aca="false">IF(B997="","",IF(B997=IFERROR(INDEX(設定!$B$18:$F$18,MATCH(入力!$B$4,設定!$A$23:$A$27,0)),""),1,0))</f>
        <v/>
      </c>
    </row>
    <row r="998" customFormat="false" ht="15" hidden="false" customHeight="false" outlineLevel="0" collapsed="false">
      <c r="A998" s="12" t="n">
        <v>990</v>
      </c>
      <c r="B998" s="13"/>
      <c r="C998" s="12" t="str">
        <f aca="false">IF(B998="","",IF(B998=IFERROR(INDEX(設定!$B$18:$F$18,MATCH(入力!$B$4,設定!$A$23:$A$27,0)),""),1,0))</f>
        <v/>
      </c>
    </row>
    <row r="999" customFormat="false" ht="15" hidden="false" customHeight="false" outlineLevel="0" collapsed="false">
      <c r="A999" s="12" t="n">
        <v>991</v>
      </c>
      <c r="B999" s="13"/>
      <c r="C999" s="12" t="str">
        <f aca="false">IF(B999="","",IF(B999=IFERROR(INDEX(設定!$B$18:$F$18,MATCH(入力!$B$4,設定!$A$23:$A$27,0)),""),1,0))</f>
        <v/>
      </c>
    </row>
    <row r="1000" customFormat="false" ht="15" hidden="false" customHeight="false" outlineLevel="0" collapsed="false">
      <c r="A1000" s="12" t="n">
        <v>992</v>
      </c>
      <c r="B1000" s="13"/>
      <c r="C1000" s="12" t="str">
        <f aca="false">IF(B1000="","",IF(B1000=IFERROR(INDEX(設定!$B$18:$F$18,MATCH(入力!$B$4,設定!$A$23:$A$27,0)),""),1,0))</f>
        <v/>
      </c>
    </row>
    <row r="1001" customFormat="false" ht="15" hidden="false" customHeight="false" outlineLevel="0" collapsed="false">
      <c r="A1001" s="12" t="n">
        <v>993</v>
      </c>
      <c r="B1001" s="13"/>
      <c r="C1001" s="12" t="str">
        <f aca="false">IF(B1001="","",IF(B1001=IFERROR(INDEX(設定!$B$18:$F$18,MATCH(入力!$B$4,設定!$A$23:$A$27,0)),""),1,0))</f>
        <v/>
      </c>
    </row>
    <row r="1002" customFormat="false" ht="15" hidden="false" customHeight="false" outlineLevel="0" collapsed="false">
      <c r="A1002" s="12" t="n">
        <v>994</v>
      </c>
      <c r="B1002" s="13"/>
      <c r="C1002" s="12" t="str">
        <f aca="false">IF(B1002="","",IF(B1002=IFERROR(INDEX(設定!$B$18:$F$18,MATCH(入力!$B$4,設定!$A$23:$A$27,0)),""),1,0))</f>
        <v/>
      </c>
    </row>
    <row r="1003" customFormat="false" ht="15" hidden="false" customHeight="false" outlineLevel="0" collapsed="false">
      <c r="A1003" s="12" t="n">
        <v>995</v>
      </c>
      <c r="B1003" s="13"/>
      <c r="C1003" s="12" t="str">
        <f aca="false">IF(B1003="","",IF(B1003=IFERROR(INDEX(設定!$B$18:$F$18,MATCH(入力!$B$4,設定!$A$23:$A$27,0)),""),1,0))</f>
        <v/>
      </c>
    </row>
    <row r="1004" customFormat="false" ht="15" hidden="false" customHeight="false" outlineLevel="0" collapsed="false">
      <c r="A1004" s="12" t="n">
        <v>996</v>
      </c>
      <c r="B1004" s="13"/>
      <c r="C1004" s="12" t="str">
        <f aca="false">IF(B1004="","",IF(B1004=IFERROR(INDEX(設定!$B$18:$F$18,MATCH(入力!$B$4,設定!$A$23:$A$27,0)),""),1,0))</f>
        <v/>
      </c>
    </row>
    <row r="1005" customFormat="false" ht="15" hidden="false" customHeight="false" outlineLevel="0" collapsed="false">
      <c r="A1005" s="12" t="n">
        <v>997</v>
      </c>
      <c r="B1005" s="13"/>
      <c r="C1005" s="12" t="str">
        <f aca="false">IF(B1005="","",IF(B1005=IFERROR(INDEX(設定!$B$18:$F$18,MATCH(入力!$B$4,設定!$A$23:$A$27,0)),""),1,0))</f>
        <v/>
      </c>
    </row>
    <row r="1006" customFormat="false" ht="15" hidden="false" customHeight="false" outlineLevel="0" collapsed="false">
      <c r="A1006" s="12" t="n">
        <v>998</v>
      </c>
      <c r="B1006" s="13"/>
      <c r="C1006" s="12" t="str">
        <f aca="false">IF(B1006="","",IF(B1006=IFERROR(INDEX(設定!$B$18:$F$18,MATCH(入力!$B$4,設定!$A$23:$A$27,0)),""),1,0))</f>
        <v/>
      </c>
    </row>
    <row r="1007" customFormat="false" ht="15" hidden="false" customHeight="false" outlineLevel="0" collapsed="false">
      <c r="A1007" s="12" t="n">
        <v>999</v>
      </c>
      <c r="B1007" s="13"/>
      <c r="C1007" s="12" t="str">
        <f aca="false">IF(B1007="","",IF(B1007=IFERROR(INDEX(設定!$B$18:$F$18,MATCH(入力!$B$4,設定!$A$23:$A$27,0)),""),1,0))</f>
        <v/>
      </c>
    </row>
    <row r="1008" customFormat="false" ht="15" hidden="false" customHeight="false" outlineLevel="0" collapsed="false">
      <c r="A1008" s="12" t="n">
        <v>1000</v>
      </c>
      <c r="B1008" s="13"/>
      <c r="C1008" s="12" t="str">
        <f aca="false">IF(B1008="","",IF(B1008=IFERROR(INDEX(設定!$B$18:$F$18,MATCH(入力!$B$4,設定!$A$23:$A$27,0)),""),1,0))</f>
        <v/>
      </c>
    </row>
  </sheetData>
  <mergeCells count="3">
    <mergeCell ref="B4:D4"/>
    <mergeCell ref="B5:D5"/>
    <mergeCell ref="F9:G13"/>
  </mergeCells>
  <dataValidations count="2">
    <dataValidation allowBlank="false" error="▼をおして、5つのテーマから選んでね。" errorStyle="stop" errorTitle="テーマ" operator="between" showDropDown="false" showErrorMessage="true" showInputMessage="false" sqref="B4" type="list">
      <formula1>設定!$A$23:$A$27</formula1>
      <formula2>0</formula2>
    </dataValidation>
    <dataValidation allowBlank="true" error="▼から選んでね。（先にテーマを選んでおこう）" errorStyle="stop" errorTitle="入力エラー" operator="between" showDropDown="false" showErrorMessage="true" showInputMessage="false" sqref="B9:B1008" type="list">
      <formula1>OFFSET(設定!$B$3,0,MATCH(入力!$B$4,設定!$A$23:$A$27,0)-1,INDEX(設定!$B$17:$F$17,MATCH(入力!$B$4,設定!$A$23:$A$27,0)),1)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3.85" hidden="false" customHeight="false" outlineLevel="0" collapsed="false">
      <c r="A1" s="1" t="s">
        <v>14</v>
      </c>
    </row>
    <row r="3" customFormat="false" ht="15" hidden="false" customHeight="false" outlineLevel="0" collapsed="false">
      <c r="A3" s="4" t="s">
        <v>15</v>
      </c>
      <c r="B3" s="15" t="str">
        <f aca="false">_xlfn.TEXTJOIN("、",TRUE(),入力!B2:D3)</f>
        <v/>
      </c>
      <c r="C3" s="15"/>
      <c r="D3" s="15"/>
    </row>
    <row r="4" customFormat="false" ht="15" hidden="false" customHeight="false" outlineLevel="0" collapsed="false">
      <c r="A4" s="4" t="s">
        <v>4</v>
      </c>
      <c r="B4" s="15" t="n">
        <f aca="false">入力!B4</f>
        <v>0</v>
      </c>
      <c r="C4" s="15"/>
      <c r="D4" s="15"/>
    </row>
    <row r="5" customFormat="false" ht="15" hidden="false" customHeight="false" outlineLevel="0" collapsed="false">
      <c r="A5" s="4" t="s">
        <v>6</v>
      </c>
      <c r="B5" s="15" t="str">
        <f aca="false">入力!B5</f>
        <v/>
      </c>
      <c r="C5" s="15"/>
      <c r="D5" s="15"/>
    </row>
    <row r="7" customFormat="false" ht="15" hidden="false" customHeight="false" outlineLevel="0" collapsed="false">
      <c r="A7" s="16" t="s">
        <v>16</v>
      </c>
    </row>
    <row r="8" customFormat="false" ht="33.75" hidden="false" customHeight="true" outlineLevel="0" collapsed="false">
      <c r="A8" s="10" t="s">
        <v>3</v>
      </c>
      <c r="B8" s="10" t="s">
        <v>17</v>
      </c>
      <c r="C8" s="10" t="s">
        <v>7</v>
      </c>
      <c r="D8" s="10" t="s">
        <v>18</v>
      </c>
    </row>
    <row r="9" customFormat="false" ht="15" hidden="false" customHeight="false" outlineLevel="0" collapsed="false">
      <c r="A9" s="17" t="n">
        <v>50</v>
      </c>
      <c r="B9" s="17" t="str">
        <f aca="false">IF(COUNT(入力!$C$9:C58)&gt;=A9,SUM(入力!$C$9:C58),"")</f>
        <v/>
      </c>
      <c r="C9" s="18" t="str">
        <f aca="false">IF(B9="","",B9/A9)</f>
        <v/>
      </c>
      <c r="D9" s="19" t="e">
        <f aca="false">IF(B9="",NA(),B9/A9)</f>
        <v>#N/A</v>
      </c>
    </row>
    <row r="10" customFormat="false" ht="15" hidden="false" customHeight="false" outlineLevel="0" collapsed="false">
      <c r="A10" s="17" t="n">
        <v>100</v>
      </c>
      <c r="B10" s="17" t="str">
        <f aca="false">IF(COUNT(入力!$C$9:C108)&gt;=A10,SUM(入力!$C$9:C108),"")</f>
        <v/>
      </c>
      <c r="C10" s="18" t="str">
        <f aca="false">IF(B10="","",B10/A10)</f>
        <v/>
      </c>
      <c r="D10" s="19" t="e">
        <f aca="false">IF(B10="",NA(),B10/A10)</f>
        <v>#N/A</v>
      </c>
    </row>
    <row r="11" customFormat="false" ht="15" hidden="false" customHeight="false" outlineLevel="0" collapsed="false">
      <c r="A11" s="17" t="n">
        <v>150</v>
      </c>
      <c r="B11" s="17" t="str">
        <f aca="false">IF(COUNT(入力!$C$9:C158)&gt;=A11,SUM(入力!$C$9:C158),"")</f>
        <v/>
      </c>
      <c r="C11" s="18" t="str">
        <f aca="false">IF(B11="","",B11/A11)</f>
        <v/>
      </c>
      <c r="D11" s="19" t="e">
        <f aca="false">IF(B11="",NA(),B11/A11)</f>
        <v>#N/A</v>
      </c>
    </row>
    <row r="12" customFormat="false" ht="15" hidden="false" customHeight="false" outlineLevel="0" collapsed="false">
      <c r="A12" s="17" t="n">
        <v>200</v>
      </c>
      <c r="B12" s="17" t="str">
        <f aca="false">IF(COUNT(入力!$C$9:C208)&gt;=A12,SUM(入力!$C$9:C208),"")</f>
        <v/>
      </c>
      <c r="C12" s="18" t="str">
        <f aca="false">IF(B12="","",B12/A12)</f>
        <v/>
      </c>
      <c r="D12" s="19" t="e">
        <f aca="false">IF(B12="",NA(),B12/A12)</f>
        <v>#N/A</v>
      </c>
    </row>
    <row r="13" customFormat="false" ht="15" hidden="false" customHeight="false" outlineLevel="0" collapsed="false">
      <c r="A13" s="17" t="n">
        <v>250</v>
      </c>
      <c r="B13" s="17" t="str">
        <f aca="false">IF(COUNT(入力!$C$9:C258)&gt;=A13,SUM(入力!$C$9:C258),"")</f>
        <v/>
      </c>
      <c r="C13" s="18" t="str">
        <f aca="false">IF(B13="","",B13/A13)</f>
        <v/>
      </c>
      <c r="D13" s="19" t="e">
        <f aca="false">IF(B13="",NA(),B13/A13)</f>
        <v>#N/A</v>
      </c>
    </row>
    <row r="14" customFormat="false" ht="15" hidden="false" customHeight="false" outlineLevel="0" collapsed="false">
      <c r="A14" s="17" t="n">
        <v>300</v>
      </c>
      <c r="B14" s="17" t="str">
        <f aca="false">IF(COUNT(入力!$C$9:C308)&gt;=A14,SUM(入力!$C$9:C308),"")</f>
        <v/>
      </c>
      <c r="C14" s="18" t="str">
        <f aca="false">IF(B14="","",B14/A14)</f>
        <v/>
      </c>
      <c r="D14" s="19" t="e">
        <f aca="false">IF(B14="",NA(),B14/A14)</f>
        <v>#N/A</v>
      </c>
    </row>
    <row r="15" customFormat="false" ht="15" hidden="false" customHeight="false" outlineLevel="0" collapsed="false">
      <c r="A15" s="17" t="n">
        <v>350</v>
      </c>
      <c r="B15" s="17" t="str">
        <f aca="false">IF(COUNT(入力!$C$9:C358)&gt;=A15,SUM(入力!$C$9:C358),"")</f>
        <v/>
      </c>
      <c r="C15" s="18" t="str">
        <f aca="false">IF(B15="","",B15/A15)</f>
        <v/>
      </c>
      <c r="D15" s="19" t="e">
        <f aca="false">IF(B15="",NA(),B15/A15)</f>
        <v>#N/A</v>
      </c>
    </row>
    <row r="16" customFormat="false" ht="15" hidden="false" customHeight="false" outlineLevel="0" collapsed="false">
      <c r="A16" s="17" t="n">
        <v>400</v>
      </c>
      <c r="B16" s="17" t="str">
        <f aca="false">IF(COUNT(入力!$C$9:C408)&gt;=A16,SUM(入力!$C$9:C408),"")</f>
        <v/>
      </c>
      <c r="C16" s="18" t="str">
        <f aca="false">IF(B16="","",B16/A16)</f>
        <v/>
      </c>
      <c r="D16" s="19" t="e">
        <f aca="false">IF(B16="",NA(),B16/A16)</f>
        <v>#N/A</v>
      </c>
    </row>
    <row r="17" customFormat="false" ht="15" hidden="false" customHeight="false" outlineLevel="0" collapsed="false">
      <c r="A17" s="17" t="n">
        <v>450</v>
      </c>
      <c r="B17" s="17" t="str">
        <f aca="false">IF(COUNT(入力!$C$9:C458)&gt;=A17,SUM(入力!$C$9:C458),"")</f>
        <v/>
      </c>
      <c r="C17" s="18" t="str">
        <f aca="false">IF(B17="","",B17/A17)</f>
        <v/>
      </c>
      <c r="D17" s="19" t="e">
        <f aca="false">IF(B17="",NA(),B17/A17)</f>
        <v>#N/A</v>
      </c>
    </row>
    <row r="18" customFormat="false" ht="15" hidden="false" customHeight="false" outlineLevel="0" collapsed="false">
      <c r="A18" s="17" t="n">
        <v>500</v>
      </c>
      <c r="B18" s="17" t="str">
        <f aca="false">IF(COUNT(入力!$C$9:C508)&gt;=A18,SUM(入力!$C$9:C508),"")</f>
        <v/>
      </c>
      <c r="C18" s="18" t="str">
        <f aca="false">IF(B18="","",B18/A18)</f>
        <v/>
      </c>
      <c r="D18" s="19" t="e">
        <f aca="false">IF(B18="",NA(),B18/A18)</f>
        <v>#N/A</v>
      </c>
    </row>
    <row r="19" customFormat="false" ht="15" hidden="false" customHeight="false" outlineLevel="0" collapsed="false">
      <c r="A19" s="17" t="n">
        <v>550</v>
      </c>
      <c r="B19" s="17" t="str">
        <f aca="false">IF(COUNT(入力!$C$9:C558)&gt;=A19,SUM(入力!$C$9:C558),"")</f>
        <v/>
      </c>
      <c r="C19" s="18" t="str">
        <f aca="false">IF(B19="","",B19/A19)</f>
        <v/>
      </c>
      <c r="D19" s="19" t="e">
        <f aca="false">IF(B19="",NA(),B19/A19)</f>
        <v>#N/A</v>
      </c>
    </row>
    <row r="20" customFormat="false" ht="15" hidden="false" customHeight="false" outlineLevel="0" collapsed="false">
      <c r="A20" s="17" t="n">
        <v>600</v>
      </c>
      <c r="B20" s="17" t="str">
        <f aca="false">IF(COUNT(入力!$C$9:C608)&gt;=A20,SUM(入力!$C$9:C608),"")</f>
        <v/>
      </c>
      <c r="C20" s="18" t="str">
        <f aca="false">IF(B20="","",B20/A20)</f>
        <v/>
      </c>
      <c r="D20" s="19" t="e">
        <f aca="false">IF(B20="",NA(),B20/A20)</f>
        <v>#N/A</v>
      </c>
    </row>
    <row r="21" customFormat="false" ht="15" hidden="false" customHeight="false" outlineLevel="0" collapsed="false">
      <c r="A21" s="17" t="n">
        <v>650</v>
      </c>
      <c r="B21" s="17" t="str">
        <f aca="false">IF(COUNT(入力!$C$9:C658)&gt;=A21,SUM(入力!$C$9:C658),"")</f>
        <v/>
      </c>
      <c r="C21" s="18" t="str">
        <f aca="false">IF(B21="","",B21/A21)</f>
        <v/>
      </c>
      <c r="D21" s="19" t="e">
        <f aca="false">IF(B21="",NA(),B21/A21)</f>
        <v>#N/A</v>
      </c>
    </row>
    <row r="22" customFormat="false" ht="15" hidden="false" customHeight="false" outlineLevel="0" collapsed="false">
      <c r="A22" s="17" t="n">
        <v>700</v>
      </c>
      <c r="B22" s="17" t="str">
        <f aca="false">IF(COUNT(入力!$C$9:C708)&gt;=A22,SUM(入力!$C$9:C708),"")</f>
        <v/>
      </c>
      <c r="C22" s="18" t="str">
        <f aca="false">IF(B22="","",B22/A22)</f>
        <v/>
      </c>
      <c r="D22" s="19" t="e">
        <f aca="false">IF(B22="",NA(),B22/A22)</f>
        <v>#N/A</v>
      </c>
    </row>
    <row r="23" customFormat="false" ht="15" hidden="false" customHeight="false" outlineLevel="0" collapsed="false">
      <c r="A23" s="17" t="n">
        <v>750</v>
      </c>
      <c r="B23" s="17" t="str">
        <f aca="false">IF(COUNT(入力!$C$9:C758)&gt;=A23,SUM(入力!$C$9:C758),"")</f>
        <v/>
      </c>
      <c r="C23" s="18" t="str">
        <f aca="false">IF(B23="","",B23/A23)</f>
        <v/>
      </c>
      <c r="D23" s="19" t="e">
        <f aca="false">IF(B23="",NA(),B23/A23)</f>
        <v>#N/A</v>
      </c>
    </row>
    <row r="24" customFormat="false" ht="15" hidden="false" customHeight="false" outlineLevel="0" collapsed="false">
      <c r="A24" s="17" t="n">
        <v>800</v>
      </c>
      <c r="B24" s="17" t="str">
        <f aca="false">IF(COUNT(入力!$C$9:C808)&gt;=A24,SUM(入力!$C$9:C808),"")</f>
        <v/>
      </c>
      <c r="C24" s="18" t="str">
        <f aca="false">IF(B24="","",B24/A24)</f>
        <v/>
      </c>
      <c r="D24" s="19" t="e">
        <f aca="false">IF(B24="",NA(),B24/A24)</f>
        <v>#N/A</v>
      </c>
    </row>
    <row r="25" customFormat="false" ht="15" hidden="false" customHeight="false" outlineLevel="0" collapsed="false">
      <c r="A25" s="17" t="n">
        <v>850</v>
      </c>
      <c r="B25" s="17" t="str">
        <f aca="false">IF(COUNT(入力!$C$9:C858)&gt;=A25,SUM(入力!$C$9:C858),"")</f>
        <v/>
      </c>
      <c r="C25" s="18" t="str">
        <f aca="false">IF(B25="","",B25/A25)</f>
        <v/>
      </c>
      <c r="D25" s="19" t="e">
        <f aca="false">IF(B25="",NA(),B25/A25)</f>
        <v>#N/A</v>
      </c>
    </row>
    <row r="26" customFormat="false" ht="15" hidden="false" customHeight="false" outlineLevel="0" collapsed="false">
      <c r="A26" s="17" t="n">
        <v>900</v>
      </c>
      <c r="B26" s="17" t="str">
        <f aca="false">IF(COUNT(入力!$C$9:C908)&gt;=A26,SUM(入力!$C$9:C908),"")</f>
        <v/>
      </c>
      <c r="C26" s="18" t="str">
        <f aca="false">IF(B26="","",B26/A26)</f>
        <v/>
      </c>
      <c r="D26" s="19" t="e">
        <f aca="false">IF(B26="",NA(),B26/A26)</f>
        <v>#N/A</v>
      </c>
    </row>
    <row r="27" customFormat="false" ht="15" hidden="false" customHeight="false" outlineLevel="0" collapsed="false">
      <c r="A27" s="17" t="n">
        <v>950</v>
      </c>
      <c r="B27" s="17" t="str">
        <f aca="false">IF(COUNT(入力!$C$9:C958)&gt;=A27,SUM(入力!$C$9:C958),"")</f>
        <v/>
      </c>
      <c r="C27" s="18" t="str">
        <f aca="false">IF(B27="","",B27/A27)</f>
        <v/>
      </c>
      <c r="D27" s="19" t="e">
        <f aca="false">IF(B27="",NA(),B27/A27)</f>
        <v>#N/A</v>
      </c>
    </row>
    <row r="28" customFormat="false" ht="15" hidden="false" customHeight="false" outlineLevel="0" collapsed="false">
      <c r="A28" s="17" t="n">
        <v>1000</v>
      </c>
      <c r="B28" s="17" t="str">
        <f aca="false">IF(COUNT(入力!$C$9:C1008)&gt;=A28,SUM(入力!$C$9:C1008),"")</f>
        <v/>
      </c>
      <c r="C28" s="18" t="str">
        <f aca="false">IF(B28="","",B28/A28)</f>
        <v/>
      </c>
      <c r="D28" s="19" t="e">
        <f aca="false">IF(B28="",NA(),B28/A28)</f>
        <v>#N/A</v>
      </c>
    </row>
    <row r="30" customFormat="false" ht="15" hidden="false" customHeight="false" outlineLevel="0" collapsed="false">
      <c r="A30" s="9" t="s">
        <v>19</v>
      </c>
    </row>
  </sheetData>
  <mergeCells count="3">
    <mergeCell ref="B3:D3"/>
    <mergeCell ref="B4:D4"/>
    <mergeCell ref="B5:D5"/>
  </mergeCells>
  <conditionalFormatting sqref="D9:D28">
    <cfRule type="expression" priority="2" aboveAverage="0" equalAverage="0" bottom="0" percent="0" rank="0" text="" dxfId="0">
      <formula>ISNA(D9)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6"/>
  </cols>
  <sheetData>
    <row r="1" customFormat="false" ht="15" hidden="false" customHeight="false" outlineLevel="0" collapsed="false">
      <c r="A1" s="20" t="s">
        <v>20</v>
      </c>
    </row>
    <row r="2" customFormat="false" ht="26.85" hidden="false" customHeight="false" outlineLevel="0" collapsed="false">
      <c r="A2" s="11" t="s">
        <v>21</v>
      </c>
      <c r="B2" s="21" t="s">
        <v>22</v>
      </c>
      <c r="C2" s="21" t="s">
        <v>23</v>
      </c>
      <c r="D2" s="21" t="s">
        <v>24</v>
      </c>
      <c r="E2" s="21" t="s">
        <v>25</v>
      </c>
      <c r="F2" s="21" t="s">
        <v>26</v>
      </c>
    </row>
    <row r="3" customFormat="false" ht="15" hidden="false" customHeight="false" outlineLevel="0" collapsed="false">
      <c r="B3" s="22" t="n">
        <v>1</v>
      </c>
      <c r="C3" s="22" t="s">
        <v>27</v>
      </c>
      <c r="D3" s="22" t="s">
        <v>27</v>
      </c>
      <c r="E3" s="23" t="s">
        <v>28</v>
      </c>
      <c r="F3" s="23" t="s">
        <v>29</v>
      </c>
    </row>
    <row r="4" customFormat="false" ht="15" hidden="false" customHeight="false" outlineLevel="0" collapsed="false">
      <c r="B4" s="22" t="n">
        <v>2</v>
      </c>
      <c r="C4" s="22" t="s">
        <v>30</v>
      </c>
      <c r="D4" s="22" t="s">
        <v>30</v>
      </c>
      <c r="E4" s="23" t="s">
        <v>31</v>
      </c>
      <c r="F4" s="23" t="s">
        <v>32</v>
      </c>
    </row>
    <row r="5" customFormat="false" ht="15" hidden="false" customHeight="false" outlineLevel="0" collapsed="false">
      <c r="B5" s="22" t="n">
        <v>3</v>
      </c>
      <c r="C5" s="22" t="s">
        <v>33</v>
      </c>
      <c r="D5" s="22" t="s">
        <v>33</v>
      </c>
      <c r="E5" s="23" t="s">
        <v>34</v>
      </c>
    </row>
    <row r="6" customFormat="false" ht="15" hidden="false" customHeight="false" outlineLevel="0" collapsed="false">
      <c r="B6" s="22" t="n">
        <v>4</v>
      </c>
      <c r="C6" s="22" t="s">
        <v>35</v>
      </c>
      <c r="D6" s="22" t="s">
        <v>35</v>
      </c>
    </row>
    <row r="7" customFormat="false" ht="15" hidden="false" customHeight="false" outlineLevel="0" collapsed="false">
      <c r="B7" s="22" t="n">
        <v>5</v>
      </c>
      <c r="C7" s="22" t="s">
        <v>36</v>
      </c>
      <c r="D7" s="22" t="s">
        <v>36</v>
      </c>
    </row>
    <row r="8" customFormat="false" ht="15" hidden="false" customHeight="false" outlineLevel="0" collapsed="false">
      <c r="B8" s="22" t="n">
        <v>6</v>
      </c>
      <c r="C8" s="22" t="s">
        <v>37</v>
      </c>
      <c r="D8" s="22" t="s">
        <v>37</v>
      </c>
    </row>
    <row r="9" customFormat="false" ht="15" hidden="false" customHeight="false" outlineLevel="0" collapsed="false">
      <c r="C9" s="22" t="s">
        <v>38</v>
      </c>
      <c r="D9" s="22" t="s">
        <v>38</v>
      </c>
    </row>
    <row r="10" customFormat="false" ht="15" hidden="false" customHeight="false" outlineLevel="0" collapsed="false">
      <c r="C10" s="22" t="s">
        <v>39</v>
      </c>
      <c r="D10" s="22" t="s">
        <v>39</v>
      </c>
    </row>
    <row r="11" customFormat="false" ht="15" hidden="false" customHeight="false" outlineLevel="0" collapsed="false">
      <c r="C11" s="22" t="s">
        <v>40</v>
      </c>
      <c r="D11" s="22" t="s">
        <v>40</v>
      </c>
    </row>
    <row r="12" customFormat="false" ht="15" hidden="false" customHeight="false" outlineLevel="0" collapsed="false">
      <c r="C12" s="22" t="s">
        <v>41</v>
      </c>
      <c r="D12" s="22" t="s">
        <v>41</v>
      </c>
    </row>
    <row r="13" customFormat="false" ht="15" hidden="false" customHeight="false" outlineLevel="0" collapsed="false">
      <c r="C13" s="22" t="s">
        <v>42</v>
      </c>
      <c r="D13" s="22" t="s">
        <v>42</v>
      </c>
    </row>
    <row r="14" customFormat="false" ht="15" hidden="false" customHeight="false" outlineLevel="0" collapsed="false">
      <c r="C14" s="22" t="s">
        <v>43</v>
      </c>
      <c r="D14" s="22" t="s">
        <v>43</v>
      </c>
    </row>
    <row r="15" customFormat="false" ht="15" hidden="false" customHeight="false" outlineLevel="0" collapsed="false">
      <c r="C15" s="22" t="s">
        <v>44</v>
      </c>
      <c r="D15" s="22" t="s">
        <v>44</v>
      </c>
    </row>
    <row r="17" customFormat="false" ht="15" hidden="false" customHeight="false" outlineLevel="0" collapsed="false">
      <c r="A17" s="11" t="s">
        <v>45</v>
      </c>
      <c r="B17" s="22" t="n">
        <v>6</v>
      </c>
      <c r="C17" s="22" t="n">
        <v>13</v>
      </c>
      <c r="D17" s="22" t="n">
        <v>13</v>
      </c>
      <c r="E17" s="22" t="n">
        <v>3</v>
      </c>
      <c r="F17" s="22" t="n">
        <v>2</v>
      </c>
    </row>
    <row r="18" customFormat="false" ht="15" hidden="false" customHeight="false" outlineLevel="0" collapsed="false">
      <c r="A18" s="11" t="s">
        <v>46</v>
      </c>
      <c r="B18" s="22" t="n">
        <v>1</v>
      </c>
      <c r="C18" s="22" t="s">
        <v>27</v>
      </c>
      <c r="D18" s="22" t="s">
        <v>27</v>
      </c>
      <c r="E18" s="23" t="s">
        <v>34</v>
      </c>
      <c r="F18" s="23" t="s">
        <v>29</v>
      </c>
    </row>
    <row r="19" customFormat="false" ht="17.15" hidden="false" customHeight="false" outlineLevel="0" collapsed="false">
      <c r="A19" s="11" t="s">
        <v>6</v>
      </c>
      <c r="B19" s="23" t="s">
        <v>47</v>
      </c>
      <c r="C19" s="23" t="s">
        <v>48</v>
      </c>
      <c r="D19" s="23" t="s">
        <v>48</v>
      </c>
      <c r="E19" s="23" t="s">
        <v>49</v>
      </c>
      <c r="F19" s="23" t="s">
        <v>50</v>
      </c>
    </row>
    <row r="20" customFormat="false" ht="15" hidden="false" customHeight="false" outlineLevel="0" collapsed="false">
      <c r="A20" s="11" t="s">
        <v>51</v>
      </c>
      <c r="B20" s="9" t="s">
        <v>52</v>
      </c>
      <c r="C20" s="9" t="s">
        <v>53</v>
      </c>
      <c r="D20" s="9" t="s">
        <v>53</v>
      </c>
      <c r="E20" s="9" t="s">
        <v>54</v>
      </c>
      <c r="F20" s="9" t="s">
        <v>55</v>
      </c>
    </row>
    <row r="22" customFormat="false" ht="15" hidden="false" customHeight="false" outlineLevel="0" collapsed="false">
      <c r="A22" s="11" t="s">
        <v>56</v>
      </c>
    </row>
    <row r="23" customFormat="false" ht="17.15" hidden="false" customHeight="false" outlineLevel="0" collapsed="false">
      <c r="A23" s="23" t="s">
        <v>57</v>
      </c>
    </row>
    <row r="24" customFormat="false" ht="17.15" hidden="false" customHeight="false" outlineLevel="0" collapsed="false">
      <c r="A24" s="23" t="s">
        <v>58</v>
      </c>
    </row>
    <row r="25" customFormat="false" ht="17.15" hidden="false" customHeight="false" outlineLevel="0" collapsed="false">
      <c r="A25" s="23" t="s">
        <v>59</v>
      </c>
    </row>
    <row r="26" customFormat="false" ht="17.15" hidden="false" customHeight="false" outlineLevel="0" collapsed="false">
      <c r="A26" s="23" t="s">
        <v>60</v>
      </c>
    </row>
    <row r="27" customFormat="false" ht="15" hidden="false" customHeight="false" outlineLevel="0" collapsed="false">
      <c r="A27" s="2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2026-10-12T20:24:44Z</dcterms:created>
  <dc:creator>openpyxl</dc:creator>
  <dc:description/>
  <dc:language>en-US</dc:language>
  <cp:lastModifiedBy/>
  <dcterms:modified xsi:type="dcterms:W3CDTF">2026-10-13T05:24:46Z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